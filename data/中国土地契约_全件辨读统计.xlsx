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imothy\AppData\Local\Temp\clr\"/>
    </mc:Choice>
  </mc:AlternateContent>
  <xr:revisionPtr revIDLastSave="0" documentId="8_{D77DC83D-38EC-47D1-9E44-3A1E785840DE}" xr6:coauthVersionLast="47" xr6:coauthVersionMax="47" xr10:uidLastSave="{00000000-0000-0000-0000-000000000000}"/>
  <bookViews>
    <workbookView xWindow="2573" yWindow="2573" windowWidth="16199" windowHeight="9307" activeTab="1" xr2:uid="{43237A4B-8D1E-42E4-B8D1-A037C0145865}"/>
  </bookViews>
  <sheets>
    <sheet name="说明" sheetId="1" r:id="rId1"/>
    <sheet name="总表" sheetId="2" r:id="rId2"/>
    <sheet name="统计" sheetId="3" r:id="rId3"/>
    <sheet name="人物索引" sheetId="4" r:id="rId4"/>
  </sheets>
  <definedNames>
    <definedName name="_xlnm._FilterDatabase" localSheetId="3" hidden="1">人物索引!$A$1:$G$222</definedName>
    <definedName name="_xlnm._FilterDatabase" localSheetId="1" hidden="1">总表!$A$1:$AI$235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4" i="3" l="1"/>
  <c r="J24" i="3"/>
  <c r="I24" i="3"/>
  <c r="H24" i="3"/>
  <c r="K23" i="3"/>
  <c r="J23" i="3"/>
  <c r="I23" i="3"/>
  <c r="H23" i="3"/>
  <c r="K22" i="3"/>
  <c r="J22" i="3"/>
  <c r="I22" i="3"/>
  <c r="H22" i="3"/>
  <c r="K21" i="3"/>
  <c r="J21" i="3"/>
  <c r="I21" i="3"/>
  <c r="H21" i="3"/>
  <c r="K20" i="3"/>
  <c r="J20" i="3"/>
  <c r="I20" i="3"/>
  <c r="H20" i="3"/>
  <c r="K19" i="3"/>
  <c r="J19" i="3"/>
  <c r="I19" i="3"/>
  <c r="H19" i="3"/>
  <c r="K18" i="3"/>
  <c r="J18" i="3"/>
  <c r="I18" i="3"/>
  <c r="H18" i="3"/>
  <c r="K17" i="3"/>
  <c r="J17" i="3"/>
  <c r="I17" i="3"/>
  <c r="H17" i="3"/>
  <c r="K16" i="3"/>
  <c r="J16" i="3"/>
  <c r="I16" i="3"/>
  <c r="H16" i="3"/>
  <c r="K15" i="3"/>
  <c r="J15" i="3"/>
  <c r="I15" i="3"/>
  <c r="H15" i="3"/>
  <c r="K14" i="3"/>
  <c r="J14" i="3"/>
  <c r="I14" i="3"/>
  <c r="H14" i="3"/>
  <c r="K13" i="3"/>
  <c r="J13" i="3"/>
  <c r="I13" i="3"/>
  <c r="H13" i="3"/>
  <c r="K12" i="3"/>
  <c r="J12" i="3"/>
  <c r="I12" i="3"/>
  <c r="H12" i="3"/>
  <c r="K11" i="3"/>
  <c r="J11" i="3"/>
  <c r="I11" i="3"/>
  <c r="H11" i="3"/>
  <c r="K10" i="3"/>
  <c r="J10" i="3"/>
  <c r="I10" i="3"/>
  <c r="H10" i="3"/>
  <c r="K9" i="3"/>
  <c r="J9" i="3"/>
  <c r="I9" i="3"/>
  <c r="H9" i="3"/>
  <c r="K8" i="3"/>
  <c r="J8" i="3"/>
  <c r="I8" i="3"/>
  <c r="H8" i="3"/>
  <c r="K7" i="3"/>
  <c r="J7" i="3"/>
  <c r="I7" i="3"/>
  <c r="H7" i="3"/>
  <c r="K6" i="3"/>
  <c r="J6" i="3"/>
  <c r="I6" i="3"/>
  <c r="H6" i="3"/>
  <c r="C112" i="3"/>
  <c r="B112" i="3"/>
  <c r="C111" i="3"/>
  <c r="B111" i="3"/>
  <c r="C110" i="3"/>
  <c r="B110" i="3"/>
  <c r="C109" i="3"/>
  <c r="B109"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87" i="3"/>
  <c r="B87" i="3"/>
  <c r="C86" i="3"/>
  <c r="B86" i="3"/>
  <c r="C85" i="3"/>
  <c r="B85" i="3"/>
  <c r="C84" i="3"/>
  <c r="B84" i="3"/>
  <c r="C83" i="3"/>
  <c r="B83" i="3"/>
  <c r="C82" i="3"/>
  <c r="B82" i="3"/>
  <c r="C81" i="3"/>
  <c r="B81" i="3"/>
  <c r="C80" i="3"/>
  <c r="B80" i="3"/>
  <c r="C79" i="3"/>
  <c r="B79" i="3"/>
  <c r="C78" i="3"/>
  <c r="B78" i="3"/>
  <c r="C77" i="3"/>
  <c r="B77" i="3"/>
  <c r="C76" i="3"/>
  <c r="B76" i="3"/>
  <c r="C75" i="3"/>
  <c r="B75"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39" i="3"/>
  <c r="B39" i="3"/>
  <c r="C38" i="3"/>
  <c r="B38" i="3"/>
  <c r="C37" i="3"/>
  <c r="B37" i="3"/>
  <c r="C36" i="3"/>
  <c r="B36" i="3"/>
  <c r="C35" i="3"/>
  <c r="B35" i="3"/>
  <c r="C34" i="3"/>
  <c r="B34" i="3"/>
  <c r="C33" i="3"/>
  <c r="B33" i="3"/>
  <c r="C32" i="3"/>
  <c r="B32" i="3"/>
  <c r="C28" i="3"/>
  <c r="B28" i="3"/>
  <c r="C27" i="3"/>
  <c r="B27" i="3"/>
  <c r="C26" i="3"/>
  <c r="B26" i="3"/>
  <c r="C25" i="3"/>
  <c r="B25" i="3"/>
  <c r="C24" i="3"/>
  <c r="B24" i="3"/>
  <c r="C23" i="3"/>
  <c r="B23" i="3"/>
  <c r="C22" i="3"/>
  <c r="B22" i="3"/>
  <c r="C21" i="3"/>
  <c r="B21" i="3"/>
  <c r="C20" i="3"/>
  <c r="B20" i="3"/>
  <c r="C16" i="3"/>
  <c r="B16" i="3"/>
  <c r="C15" i="3"/>
  <c r="B15" i="3"/>
  <c r="C14" i="3"/>
  <c r="B14" i="3"/>
  <c r="C13" i="3"/>
  <c r="B13" i="3"/>
  <c r="C12" i="3"/>
  <c r="B12" i="3"/>
  <c r="C11" i="3"/>
  <c r="B11" i="3"/>
  <c r="C10" i="3"/>
  <c r="B10" i="3"/>
  <c r="C9" i="3"/>
  <c r="B9" i="3"/>
  <c r="C8" i="3"/>
  <c r="B8" i="3"/>
  <c r="C7" i="3"/>
  <c r="B7" i="3"/>
  <c r="C6" i="3"/>
  <c r="B6" i="3"/>
  <c r="C5" i="3"/>
  <c r="B5" i="3"/>
</calcChain>
</file>

<file path=xl/sharedStrings.xml><?xml version="1.0" encoding="utf-8"?>
<sst xmlns="http://schemas.openxmlformats.org/spreadsheetml/2006/main" count="6776" uniqueCount="3588">
  <si>
    <t>箱</t>
  </si>
  <si>
    <t>夹</t>
  </si>
  <si>
    <t>文书大类</t>
  </si>
  <si>
    <t>文书类型（原判）</t>
  </si>
  <si>
    <t>时期</t>
  </si>
  <si>
    <t>年号</t>
  </si>
  <si>
    <t>纪年原文</t>
  </si>
  <si>
    <t>公元年</t>
  </si>
  <si>
    <t>立契人</t>
  </si>
  <si>
    <t>立契人性别</t>
  </si>
  <si>
    <t>立契人身份</t>
  </si>
  <si>
    <t>承受人</t>
  </si>
  <si>
    <t>县</t>
  </si>
  <si>
    <t>地点原文</t>
  </si>
  <si>
    <t>交易物大类</t>
  </si>
  <si>
    <t>交易物类别（原判）</t>
  </si>
  <si>
    <t>交易物细节</t>
  </si>
  <si>
    <t>价格原文</t>
  </si>
  <si>
    <t>价格数值</t>
  </si>
  <si>
    <t>币种</t>
  </si>
  <si>
    <t>中人</t>
  </si>
  <si>
    <t>在见／知见／保人</t>
  </si>
  <si>
    <t>代笔</t>
  </si>
  <si>
    <t>官印／税契</t>
  </si>
  <si>
    <t>回赎／期限条款</t>
  </si>
  <si>
    <t>附带文书</t>
  </si>
  <si>
    <t>值得注意</t>
  </si>
  <si>
    <t>与目录不符</t>
  </si>
  <si>
    <t>置信度</t>
  </si>
  <si>
    <t>存疑</t>
  </si>
  <si>
    <t>页数</t>
  </si>
  <si>
    <t>图书馆目录标题</t>
  </si>
  <si>
    <t>目录日期</t>
  </si>
  <si>
    <t>链接</t>
  </si>
  <si>
    <t>item_id</t>
  </si>
  <si>
    <t>其他</t>
  </si>
  <si>
    <t>其他（清丈归户单）</t>
  </si>
  <si>
    <t>1 明（-1643）</t>
  </si>
  <si>
    <t>万历</t>
  </si>
  <si>
    <t>万历十二年十二月 日</t>
  </si>
  <si>
    <t>张炳财</t>
  </si>
  <si>
    <t>男</t>
  </si>
  <si>
    <t>表席里叁图贰甲户长；户丁张万殿执业；纳粮佃户'自'，系民田</t>
  </si>
  <si>
    <t>连城县</t>
  </si>
  <si>
    <t>连城县□□表席里叁图，大土名莲花坑，小土名赤岭</t>
  </si>
  <si>
    <t>田</t>
  </si>
  <si>
    <t>吕字壹千伍百柒拾捌号田壹坵；四至：东至一千五百七十二号吴世源界，西至一千五百七十四号吴大传界，南至一千六百五十七号吴光裕界，北至一千五百六十八号张族(?)负(?)界；东丈中直贰拾叁号壹尺、西丈一广叁号、南丈二广陆号伍尺、北丈三广捌号；通计壹百肆拾陆(?)步□分，折田□亩肆分陆厘贰毫(?)</t>
  </si>
  <si>
    <t>公正余(?)易(?)美；书算吴□祥</t>
  </si>
  <si>
    <t>木刻印刷格式官方单据，未见红印；照上田起科</t>
  </si>
  <si>
    <t>万历清丈（张居正丈田）后颁发的归户单，印刷版式填写，以千字文'吕'字编号鱼鳞图册号；是本特藏最早一件，且出自闽西连城而非福州。左边沿有一行模糊墨书批注。</t>
  </si>
  <si>
    <t>中</t>
  </si>
  <si>
    <t>旧额亩分、今丈数字及通计步数字迹模糊；公正、书算姓名不确定；北至人名'张族负'存疑</t>
  </si>
  <si>
    <t>Owner: 張炳財 [ZHANG Bingcai] -- Place: 福建省連城縣 [Fujian Sheng Liancheng Xian] -- Personal</t>
  </si>
  <si>
    <t>买卖（卖／卖断）</t>
  </si>
  <si>
    <t>卖契</t>
  </si>
  <si>
    <t>2 清前期（1644-1795）</t>
  </si>
  <si>
    <t>顺治</t>
  </si>
  <si>
    <t>顺治十六年□月 日</t>
  </si>
  <si>
    <t>范南山</t>
  </si>
  <si>
    <t>承祖遗下荒山</t>
  </si>
  <si>
    <t>刘宅</t>
  </si>
  <si>
    <t>不详</t>
  </si>
  <si>
    <t>坐落铁狮峯下□□塝□内（土名不全）</t>
  </si>
  <si>
    <t>坟地</t>
  </si>
  <si>
    <t>坟地＋山／山林</t>
  </si>
  <si>
    <t>祖遗荒山一片内抽出一穴，卖与刘宅边前去安葬坟墓</t>
  </si>
  <si>
    <t>时值价银伍钱正</t>
  </si>
  <si>
    <t>银两</t>
  </si>
  <si>
    <t>魏玉璟(?)（说谕人）</t>
  </si>
  <si>
    <t>萧秀(?)卿（在见人）</t>
  </si>
  <si>
    <t>揭时发(?)（代字人）</t>
  </si>
  <si>
    <t>无官印（白契）</t>
  </si>
  <si>
    <t>卖出一穴听买主择日安葬；如有来历不明、出头抵当，不涉买主之事</t>
  </si>
  <si>
    <t>只卖荒山中一个坟穴，价仅五钱；契纸左方背面大字墨书'福地'。用'说谕人'称中人。</t>
  </si>
  <si>
    <t>月份字不清；土名、中人及代字人名字有存疑</t>
  </si>
  <si>
    <t>Seller: 范南山 [FAN Nanshan] -- Personal</t>
  </si>
  <si>
    <t>康熙</t>
  </si>
  <si>
    <t>康熙十七年三月十九日</t>
  </si>
  <si>
    <t>徐正耀</t>
  </si>
  <si>
    <t>原祖置为正屋；声明与徐家伯叔兄弟子孙无干</t>
  </si>
  <si>
    <t>杨元管(?)（杨家）</t>
  </si>
  <si>
    <t>闽清县</t>
  </si>
  <si>
    <t>闽清县十都□墘地方，土名井墘厝</t>
  </si>
  <si>
    <t>屋／厝</t>
  </si>
  <si>
    <t>屋＋山／山林</t>
  </si>
  <si>
    <t>正屋壹座六扇五间，上至椽尾下至地基，内有书院壹间空地；连屋后竹林、山业、竹树、水尾牛栏(?)等，统卖与杨家永远起盖住居；四至含水圳、后门阳塝等</t>
  </si>
  <si>
    <t>价银拾捌两正，其银水九五色</t>
  </si>
  <si>
    <t>吴朝宇(?)</t>
  </si>
  <si>
    <t>陈五(?)费(?)</t>
  </si>
  <si>
    <t>钤闽清县官印多方（红契），左下另有骑缝半印</t>
  </si>
  <si>
    <t>统卖与杨家永远起盖住居；日后不得言找言赎，如有来历不明，徐家出头支当</t>
  </si>
  <si>
    <t>清初闽清县红契，盖有大方县印；房屋与竹林山场连带出售。契末有'劈'字骑缝半字。</t>
  </si>
  <si>
    <t>目录地点作 unknown，契文明载闽清县十都</t>
  </si>
  <si>
    <t>买主名'杨元管'、地名'□墘'、代字人名字存疑；银色'九五'存疑</t>
  </si>
  <si>
    <t>Seller: 徐正耀 [XU Zhengyao] -- Place: unknown -- Government</t>
  </si>
  <si>
    <t>典当／胎借</t>
  </si>
  <si>
    <t>典契</t>
  </si>
  <si>
    <t>乾隆</t>
  </si>
  <si>
    <t>乾隆贰拾伍年伍月 日</t>
  </si>
  <si>
    <t>黄毓扆</t>
  </si>
  <si>
    <t>承祖有民田；凑字中称受主为表伯</t>
  </si>
  <si>
    <t>未写名（凑字称'业表伯处'）</t>
  </si>
  <si>
    <t>拾壹都地方，土名和尚墘、长垅、平水潭台尾、上下大坵尾园前后埕利、吴厝洋上中段、桑园二小坵等处</t>
  </si>
  <si>
    <t>民田数号：佃陈朝彩，土名和尚墘，载租米壹石捌斗；佃许继实，土名长垅平水潭台尾，抽出租米壹石壹(?)斗伍升；佃林于(?)奏(?)，土名上下大坵尾园前后埕利吴厝洋上中段、桑园二小坵，载租米贰石柒斗</t>
  </si>
  <si>
    <t>价银陆拾叁两正，纹广(?)；凑字另凑钱壹拾千文(?)</t>
  </si>
  <si>
    <t>薛宜(?)章</t>
  </si>
  <si>
    <t>刘有堂（在见）；谢朝尊(?)；刘有炳(?)（凑字中见）</t>
  </si>
  <si>
    <t>两纸均钤方形红官印（县印，印文不清），属红契</t>
  </si>
  <si>
    <t>典契：限伍年满之日备银取赎；凑字后仍限期取赎</t>
  </si>
  <si>
    <t>1) 典契，乾隆贰拾伍年伍月，黄毓扆将民田数号（载租米合伍硕余）典出，价银陆拾叁两，限伍年备银取赎；2) 凑字（找贴契），乾隆叁拾贰年伍月，黄毓扆就前典田再向业主表伯处凑出钱壹拾千文(?)，亦钤红印</t>
  </si>
  <si>
    <t>典与找凑相隔七年，典价外再凑钱，体现'典—凑'的逐步出让；典契附'计开'逐佃列租。契纸左侧有椭圆墨圈内书'大吉(?)'字样。</t>
  </si>
  <si>
    <t>契文未写县名，目录作闽清县；目录以黄毓扆为Owner</t>
  </si>
  <si>
    <t>受主姓名未见；凑字钱数及中见名字草书存疑；部分租额数字存疑</t>
  </si>
  <si>
    <t>Owner: 黃毓扆 [HUANG Yuyi] -- Place: 福建省閩清縣 [Fujian Sheng Minqing Xian] -- Government</t>
  </si>
  <si>
    <t>1760 to 1767</t>
  </si>
  <si>
    <t>乾隆贰拾陆年辛巳岁拾月初二日</t>
  </si>
  <si>
    <t>许琼栢、许奕栢</t>
  </si>
  <si>
    <t>许氏贰房叔侄，祖父遗下山埔</t>
  </si>
  <si>
    <t>吴省忠叔侄</t>
  </si>
  <si>
    <t>永定县</t>
  </si>
  <si>
    <t>土名大溪边磜下尚上</t>
  </si>
  <si>
    <t>山林</t>
  </si>
  <si>
    <t>山／山林＋坟地</t>
  </si>
  <si>
    <t>山埔壹所，原有土窨贰穴；上至许家坟下为界，下至圳面为界，左右并无土窨相连；准吴家坟安葬</t>
  </si>
  <si>
    <t>九四(?)足色价银叁拾两正</t>
  </si>
  <si>
    <t>官盛清（说合人）</t>
  </si>
  <si>
    <t>许芳栢（房户/房亲）；全侄许恭上、许信上等（同立）</t>
  </si>
  <si>
    <t>契面钤永定县印多方（红契）；附乾隆二十七年契尾，纳税银玖钱（税率3%）</t>
  </si>
  <si>
    <t>永远为照；不得重复典当、言阻</t>
  </si>
  <si>
    <t>1) 卖山埔土窨契，乾隆贰拾陆年辛巳拾月初二日，许琼栢、许奕栢卖与吴省忠叔侄，价银叁拾两，钤永定县印；2) 契尾，乾隆贰拾柒年捌月，永字一千四百十三号，业户吴省忠买许琼栢、许奕栢坐落大溪边磜下尚上土窨，用价银叁拾两，纳税银玖钱正，钤永定县印</t>
  </si>
  <si>
    <t>契尾印刷文引乾隆十五年布政使司奏准契尾格式，前后幅分写；税额正好为价银百分之三。卖的是坟穴用的'土窨'。</t>
  </si>
  <si>
    <t>目录年代1761-1762与正契、契尾吻合</t>
  </si>
  <si>
    <t>银色成数及同立侄名字存疑</t>
  </si>
  <si>
    <t>Seller: 許瓊栢 [XU Qiongbai] -- Buyer: 吳省忠 [WU Shengzhong] -- Place: 福建省永定縣 [Fujian Sheng Yongding Xian] -- Government</t>
  </si>
  <si>
    <t>1761 to 1762</t>
  </si>
  <si>
    <t>乾隆叁拾贰年拾贰月 日</t>
  </si>
  <si>
    <t>徐干通（仝侄徐士孚）</t>
  </si>
  <si>
    <t>叔侄同立；承祖遗下苗田</t>
  </si>
  <si>
    <t>峡阳应熊孙</t>
  </si>
  <si>
    <t>南平县</t>
  </si>
  <si>
    <t>坐落土名小溪漈下垅（峡阳）</t>
  </si>
  <si>
    <t>苗田一段，年收苗谷柒箩伍斗，实载苗米柒升伍合(?)；先年已抽出苗谷□箩捌斗与应熊孙为业，此次再卖自己名下苗谷陆斗贰升伍合，实载民苗陆合贰(?)；另随田鸭肆只；粮米在梅北二图三甲徐壬童户内推出，收入峡阳二图二甲应熊茂户内完粮</t>
  </si>
  <si>
    <t>时值土风实卖得契价纹银贰两贰钱正</t>
  </si>
  <si>
    <t>徐起孙（代字中）</t>
  </si>
  <si>
    <t>钤红色斜方官印数方（红契），印文不清</t>
  </si>
  <si>
    <t>卖契；声明未曾典挂外人财物，无准折之类，二家各无悔</t>
  </si>
  <si>
    <t>契内先问房亲兄弟不愿承买，方卖与峡阳应家；'随田鸭'作为附随物一并出卖，罕见。粮户推收写明图甲户名。</t>
  </si>
  <si>
    <t>目录买主作'熊孙?'，契文为'应熊孙'；目录作南平县，契文只见峡阳、梅北等地名（峡阳属南平）</t>
  </si>
  <si>
    <t>契纸有两处虫蛀洞，'先年'抽出谷数、苗米合数不全；代字中名字'起孙'存疑</t>
  </si>
  <si>
    <t>Seller: 徐幹通 [XU Gantong] -- Buyer: 熊孫? [XIONG Sun?] -- Place: 福建省南平縣 [Fujian Sheng Nanping Xian] -- Government</t>
  </si>
  <si>
    <t>找贴／凑断</t>
  </si>
  <si>
    <t>找贴契／贴尽契</t>
  </si>
  <si>
    <t>乾隆四十四年拾月 日</t>
  </si>
  <si>
    <t>李有定</t>
  </si>
  <si>
    <t>其祖母于乾隆叁拾壹(?)年间手将民田典在谢处，今再立凑字</t>
  </si>
  <si>
    <t>谢（谢家）</t>
  </si>
  <si>
    <t>闽清县陈洋地方</t>
  </si>
  <si>
    <t>民田数号，租额土名俱载在原契内</t>
  </si>
  <si>
    <t>凑出价银贰两五钱正</t>
  </si>
  <si>
    <t>段章绶（在见）</t>
  </si>
  <si>
    <t>钤大方红官印（斜盖），属红契</t>
  </si>
  <si>
    <t>面约加限叁年，限满之日听李家备价照原凑契面银两赎回，谢家不得执留</t>
  </si>
  <si>
    <t>典后加凑并延长赎回期限三年，是典—凑关系的典型样本；出典人为祖母，由孙辈立凑字。</t>
  </si>
  <si>
    <t>目录买主作'谢氏'，契文作'谢'（谢家），未见'氏'字</t>
  </si>
  <si>
    <t>高</t>
  </si>
  <si>
    <t>原典年份'乾隆叁拾壹年'中'壹'字存疑</t>
  </si>
  <si>
    <t>Seller: 李有定 [LI Youding] -- Buyer: 謝氏 [XIE] -- Place: 福建省閩清縣 [Fujian Sheng Minqing Xian] -- Government</t>
  </si>
  <si>
    <t>乾隆肆拾玖年拾贰月 日</t>
  </si>
  <si>
    <t>熊长生（同侄熊亨伦、熊亨乡）</t>
  </si>
  <si>
    <t>叔侄同立；田系自己所置</t>
  </si>
  <si>
    <t>熊亨读（本房堂侄）</t>
  </si>
  <si>
    <t>古田县</t>
  </si>
  <si>
    <t>本处土名俗呌门首亭下大垅</t>
  </si>
  <si>
    <t>民田壹号，受种壹拾伍石，该粮壹亩壹分贰厘伍毫；田叁年以后肆年当收</t>
  </si>
  <si>
    <t>时值价银壹拾玖两广正，每两的钱捌百文正</t>
  </si>
  <si>
    <t>郑成富</t>
  </si>
  <si>
    <t>熊元廷（在见人）</t>
  </si>
  <si>
    <t>张东礼(?)（代笔人）</t>
  </si>
  <si>
    <t>卖契钤斜方红印一方；附古田县契尾（布政使司印、县印多方），纳税银壹两伍钱（价银3%）</t>
  </si>
  <si>
    <t>面约五拾叁年(?)备价赎田，不得刁难；若无力之日推入读户，买主管耕</t>
  </si>
  <si>
    <t>1) 卖契，乾隆肆拾玖年拾贰月，熊长生同侄亨伦、亨乡将民田一号卖与本房堂侄熊亨读，价银壹拾玖两（每两折钱捌百文）；2) 契尾，道光拾□年（?），布字贰千玖百贰拾贰号，古田县业户黄鸿吉于道光二年买□廷乐(?)辛(?)氏田叁亩，坐落十八都土名报慈(?)，用价银伍拾两，纳税银壹两伍钱</t>
  </si>
  <si>
    <t>族内买卖（叔卖与堂侄），价以银两计而折钱交付；所附契尾是道光年间黄鸿吉另一宗买田的税凭，与正契交易人不同，可能是同一田块后来转手到黄家（目录将黄鸿吉列为Owner）。契末大字'斋否(?)'。</t>
  </si>
  <si>
    <t>目录年代1784–1830；契尾年份为道光拾□年，可能晚于1830</t>
  </si>
  <si>
    <t>契尾年份、卖主姓名'廷乐辛氏'存疑；赎期'五拾叁年'理解存疑；代笔人名字末字不清</t>
  </si>
  <si>
    <t>Owner: 黃鴻吉 [HUANG Hongji] --Seller: 熊長生 [XIONG Changsheng] -- Buyer: 熊亨讀 [XIONG Hengdu] -- Place: 福建省古田縣 [Fujian Sheng Gutian Xian] -- Government</t>
  </si>
  <si>
    <t>1784 to 1830</t>
  </si>
  <si>
    <t>乾隆肆拾柒年玖月 日</t>
  </si>
  <si>
    <t>应梓龙</t>
  </si>
  <si>
    <t>本年先已卖断，今再增找杜断</t>
  </si>
  <si>
    <t>刘继伍</t>
  </si>
  <si>
    <t>建阳县</t>
  </si>
  <si>
    <t>坐落磋上横窠(?)游岭黄厝垅</t>
  </si>
  <si>
    <t>田皮骨（连皮带骨）米柒箩伍管正</t>
  </si>
  <si>
    <t>增找得杜断价纹银壹拾柒两正；外用中见礼银伍钱壹分正</t>
  </si>
  <si>
    <t>刘礼□（原中人）；刘兆华（劝谕人）</t>
  </si>
  <si>
    <t>应梓明（知契人）</t>
  </si>
  <si>
    <t>徐(?)迟(?)万(?)（代字人）</t>
  </si>
  <si>
    <t>钤建阳县印多方（红契）</t>
  </si>
  <si>
    <t>增找杜断之后仍凭买主永远管业，交租割过户当差完粮；永无言增言找之理</t>
  </si>
  <si>
    <t>同年先卖断后再增找，'田皮骨'一并出卖；另记中见礼银，显示中人报酬。</t>
  </si>
  <si>
    <t>地名'磋上横窠'、原中人名、代字人名字存疑</t>
  </si>
  <si>
    <t>Seller: 應梓龍 [YING Zilong] -- Buyer: 劉繼伍 [LIU Jiwu] -- Place: 福建省建陽縣 [Fujian Sheng Jianyang Xian] -- Government</t>
  </si>
  <si>
    <t>乾隆四十七年十二月(?) 日</t>
  </si>
  <si>
    <t>可翅（叔）</t>
  </si>
  <si>
    <t>承祖手置得潘亨选根面全民田；母陈(?)氏知契</t>
  </si>
  <si>
    <t>侄钦家(?)（钦□）</t>
  </si>
  <si>
    <t>廿五都土名廖四田地方</t>
  </si>
  <si>
    <t>根面全民田壹号，丈计玖分，粮札载在海字壹千九百壹拾叁号</t>
  </si>
  <si>
    <t>典出价银拾两正纹广</t>
  </si>
  <si>
    <t>程叔顺（中人）</t>
  </si>
  <si>
    <t>陈(?)氏（知契母）；兄可森（在见）；叔志涵（仝见）</t>
  </si>
  <si>
    <t>自笔</t>
  </si>
  <si>
    <t>粮色两约六年为限，限满之日听叔照契银两依期取赎，不得执留</t>
  </si>
  <si>
    <t>叔将田'缴典'与侄；粮立在廿五都四甲林光鹏户下，听侄过甲入户。契纸左上有大字'大吉'。</t>
  </si>
  <si>
    <t>目录卖主作'可翅'，契中自称'叔可翅'，未写姓</t>
  </si>
  <si>
    <t>月份、受典侄名字、知契母姓氏为草书，存疑</t>
  </si>
  <si>
    <t>Seller: 可翅 [KE Chi] -- Place: unknown --Personal</t>
  </si>
  <si>
    <t>3 嘉道（1796-1850）</t>
  </si>
  <si>
    <t>嘉庆</t>
  </si>
  <si>
    <t>嘉庆叁年贰月 日</t>
  </si>
  <si>
    <t>刘盛章</t>
  </si>
  <si>
    <t>旧年冬已将房屋卖断与本族，今再增找杜断</t>
  </si>
  <si>
    <t>刘咸安、刘道建（本族）</t>
  </si>
  <si>
    <t>坐落水北(?)</t>
  </si>
  <si>
    <t>屋＋地基／屋地</t>
  </si>
  <si>
    <t>朽房屋地基共计叁榈，四至银两前契载明</t>
  </si>
  <si>
    <t>增找杜断价纹银捌两正；外用中银贰钱肆分正</t>
  </si>
  <si>
    <t>刘如万（原中代字人）</t>
  </si>
  <si>
    <t>增找杜断之后，仍凭买者永远管业修整架造，开门出入，卖者不敢阻占；日后不得另生枝节言增言找</t>
  </si>
  <si>
    <t>与 Folder 13（刘咸安契尾，嘉庆十年）为同一宗族内房屋交易的连续文书。</t>
  </si>
  <si>
    <t>地名'水北'存疑</t>
  </si>
  <si>
    <t>Seller: 劉盛章 [LIU Shengzhang] --Buyer: 劉咸安 [LIU Xian'an] and 劉道建 [LIU Daojian] -- Place: 福建省建陽縣 [Fujian Sheng Jianyang Xian] -- Government</t>
  </si>
  <si>
    <t>嘉庆柒年贰月 日</t>
  </si>
  <si>
    <t>邱有本（仝弟邱有炳、侄邱传学）</t>
  </si>
  <si>
    <t>承嗣祖手置民田；乾隆年间经嗣祖妣手典与傅处；今因造垄（营葬）嗣祖妣急用</t>
  </si>
  <si>
    <t>傅（傅处）</t>
  </si>
  <si>
    <t>闽清十七都半岭桥头里炉地方，土名南仓下洋下分对面山等处</t>
  </si>
  <si>
    <t>民田数号，租额银两钱文俱载典、凑、尽各契内</t>
  </si>
  <si>
    <t>尽出价银贰拾贰两正纹广</t>
  </si>
  <si>
    <t>弟有汉（中见）</t>
  </si>
  <si>
    <t>立尽契后仍面约年限伍年，限满之日听邱备价照各契面取赎，傅不得执留</t>
  </si>
  <si>
    <t>名为'尽契'却仍保留伍年后回赎的权利，说明'尽'并不必然等于绝卖；用途写明为给嗣祖妣造坟。</t>
  </si>
  <si>
    <t>Seller: 邱有本 [QIU Youben] 邱有炳 [QIU Youbing] and 邱傳學 [QIU Chuanxue] -- Place: 福建省閩清縣 [Fujian Sheng Minqing Xian] -- Personal</t>
  </si>
  <si>
    <t>契尾／验契</t>
  </si>
  <si>
    <t>契尾</t>
  </si>
  <si>
    <t>嘉庆十年五月 日</t>
  </si>
  <si>
    <t>契尾所记卖主</t>
  </si>
  <si>
    <t>刘咸安</t>
  </si>
  <si>
    <t>屋</t>
  </si>
  <si>
    <t>契尾计开：业户刘咸安买刘盛章厝(?)壹契</t>
  </si>
  <si>
    <t>用价银贰拾柒两(?)；纳税银□钱□分</t>
  </si>
  <si>
    <t>建阳县印多方，契尾编号'徵(?)字□百九十二号'(?)</t>
  </si>
  <si>
    <t>与 Folder 11 刘盛章卖房屋给刘咸安、刘道建的增找契相对应，是同一宗交易后补税的官方凭证。</t>
  </si>
  <si>
    <t>价银、税银数字草书存疑；编号不清</t>
  </si>
  <si>
    <t>Owner: 劉咸安 [LIU Xian'an] -- Place: 福建省建陽縣 [Fujian Sheng Jianyang Xian] -- Government</t>
  </si>
  <si>
    <t>嘉庆拾年伍月 日</t>
  </si>
  <si>
    <t>赵守藻</t>
  </si>
  <si>
    <t>嘉庆拾年肆月间买得陶天翰民田面数号，旋即转典</t>
  </si>
  <si>
    <t>林（林处）</t>
  </si>
  <si>
    <t>侯官县</t>
  </si>
  <si>
    <t>侯官县草市都</t>
  </si>
  <si>
    <t>田面</t>
  </si>
  <si>
    <t>民田面数号，佃林有栋耕作，递年载早晚租谷壹百柒拾筋；粮挂在草市都五甲陶孔镳户下应粮陆分伍厘；计开：第六区地字五百八十六号土名培下则园丈捌厘、五百八十七号土名坑下则园肆分零叁毫柒丝伍忽、五百八十八号土名荒地下则地贰分贰厘叁毫(?)五忽、五百八十九号土名坑里下则园丈伍厘</t>
  </si>
  <si>
    <t>得讫价银壹拾肆两(?)正</t>
  </si>
  <si>
    <t>杨海武（中见友）</t>
  </si>
  <si>
    <t>林标人（代笔）</t>
  </si>
  <si>
    <t>钤红官印两方；另有民国时期'西湖区验税契事务所 验讫'朱戳及'验'字小戳</t>
  </si>
  <si>
    <t>面约叁年为限，限满之日听藻备价照契面银两取赎；并缴陶君良原契壹纸</t>
  </si>
  <si>
    <t>买入一月后即转典；契面有民国验契机关'西湖区验税契事务所'戳记，显示此契在民国时期仍被拿去验税。与 Folder 19 林有柱契尾相关联。</t>
  </si>
  <si>
    <t>目录作'卖'，契文实为转典契</t>
  </si>
  <si>
    <t>价银数字、个别田号亩分字存疑</t>
  </si>
  <si>
    <t>Seller: 趙守藻 [ZHAO Shouzao] -- Buyer: 林 [LIN] -- Place: 福建省侯官縣 [Fujian Sheng Houguan Xian] -- Government</t>
  </si>
  <si>
    <t>租佃／欠租</t>
  </si>
  <si>
    <t>领票／欠租字</t>
  </si>
  <si>
    <t>嘉庆拾年至拾叁年</t>
  </si>
  <si>
    <t>黄隆贯</t>
  </si>
  <si>
    <t>收租人（业主）出具收条</t>
  </si>
  <si>
    <t>陈国远代陈国龙；仁标代执惠</t>
  </si>
  <si>
    <t>租米：国龙户肆斗肆升；执惠户壹斗陆升（法斗）</t>
  </si>
  <si>
    <t>租米肆斗肆升；壹斗陆升</t>
  </si>
  <si>
    <t>米谷</t>
  </si>
  <si>
    <t>黄隆贯（自字）</t>
  </si>
  <si>
    <t>无官印；部分收条钤收租人私章</t>
  </si>
  <si>
    <t>共三页租米收条：1) 嘉庆拾贰年八月廿六日，入仁标租米，黄隆贯字（钤小方印）；2) 同纸两条：嘉庆拾年十二月十七日入陈国远代国龙租米肆斗肆升正，嘉庆拾年十二月十五日入仁标代执惠租米壹斗六升正，均黄隆贯字；3) 同纸两条：嘉庆拾叁年十二月十五日入陈国远代国龙(?)租米肆斗肆升正，嘉庆拾叁年十二月十五日入仁标代执惠租米壹斗陆升正，均黄隆贯字并钤印</t>
  </si>
  <si>
    <t>每年租额固定，连续数年收条可看出定额租；陈国远为其兄弟代缴。与 Folder 21–23 陈国远、黄隆贯文书相关联。</t>
  </si>
  <si>
    <t>第一条租米数额在纸边缺损处；'仁标''执惠'人名存疑</t>
  </si>
  <si>
    <t>Seller: 黃隆貫 [HUANG Longguan] -- Buyer: 陳國遠代陳國龍 [CHEN Huoyuan represents CHEN Guolong] -- Personal</t>
  </si>
  <si>
    <t>1805 to 1808</t>
  </si>
  <si>
    <t>嘉庆十年六月吉日</t>
  </si>
  <si>
    <t>吴秉鉴</t>
  </si>
  <si>
    <t>王氏知契（当为其母）；胞弟秉钧同押</t>
  </si>
  <si>
    <t>谢先经（据契尾）</t>
  </si>
  <si>
    <t>闽县</t>
  </si>
  <si>
    <t>据契尾为房屋；正契正文缺</t>
  </si>
  <si>
    <t>契尾：用价银肆拾两正，纳税银壹两贰钱正</t>
  </si>
  <si>
    <t>郑长梅；金存国；郑提登</t>
  </si>
  <si>
    <t>王氏（知契）；胞弟吴秉钧；涂正□（乡保）</t>
  </si>
  <si>
    <t>林学纶(?)（秉笔）</t>
  </si>
  <si>
    <t>转典契钤闽县印及乡保长方戳；附嘉庆二十一年契尾，钤闽县印多方</t>
  </si>
  <si>
    <t>转典（条款部分缺失）</t>
  </si>
  <si>
    <t>1) 转典契（残），嘉庆十年六月吉日，吴秉鉴立，正文部分未见，仅存落款；2) 契尾，嘉庆贰拾壹年肆月，闽县业户谢先经买吴秉鉴屋，用价银肆拾两，纳税银壹两贰钱</t>
  </si>
  <si>
    <t>转典契后十一年才由谢先经买绝并纳税；契上有'乡保'署名及戳记。契纸左侧大字'大吉昌(?)'。</t>
  </si>
  <si>
    <t>正契正文缺损未见；秉笔人、乡保名字存疑；契尾编号不清</t>
  </si>
  <si>
    <t>Owner: 吳秉鑒 [WU Bingjian] -- Seller: 吳秉鑒 [WU Bingjian] -- Buyer: 謝先經 [XIE Xianjing] -- Place: 福建省閩縣 [Fujian Sheng Min Xian] -- Government</t>
  </si>
  <si>
    <t>1805 to 1816</t>
  </si>
  <si>
    <t>嘉庆拾贰年拾(?)月 日</t>
  </si>
  <si>
    <t>罗□</t>
  </si>
  <si>
    <t>歙县</t>
  </si>
  <si>
    <t>契尾计开：买田(?)□号</t>
  </si>
  <si>
    <t>用价银壹拾伍两，纳税银肆钱伍分(?)</t>
  </si>
  <si>
    <t>江南安徽等处承宣布政使司契尾，钤布政使司及县印</t>
  </si>
  <si>
    <t>批次中唯一一件安徽（徽州歙县）文书，契尾格式与福建契尾不同（顶部有'契尾'大字及宝珠纹）。</t>
  </si>
  <si>
    <t>目录日期空缺，契尾写嘉庆拾贰年（1807）</t>
  </si>
  <si>
    <t>低</t>
  </si>
  <si>
    <t>业户名仅见'罗'字；编号、卖主、税额不清；纸张破损</t>
  </si>
  <si>
    <t>Owner: 羅? [LUO ?] -- Place: 安徽省歙縣 [Anhui Sheng She Xian] -- Government</t>
  </si>
  <si>
    <t>嘉庆十八年八月 日</t>
  </si>
  <si>
    <t>刘钦达</t>
  </si>
  <si>
    <t>刘王建</t>
  </si>
  <si>
    <t>契尾计开：业户刘王建买刘钦达田，坐落□□（未填全）</t>
  </si>
  <si>
    <t>用价银贰拾伍(?)两；纳税银壹两□□(?)</t>
  </si>
  <si>
    <t>福建布政使司契尾，布字壹拾贰万玖千玖百叁拾玖号，钤建阳县印多方；契尾顶端骑缝号'□字□柳(?)廿九号'</t>
  </si>
  <si>
    <t>布字编号已达十二万余号，可见嘉庆后期契尾发行量。刘王建与 Folder 11、13 的刘咸安、刘道建、刘盛章同属建阳刘氏，可能同一宗族。</t>
  </si>
  <si>
    <t>目录卖主作'刘钦达(违)'，契尾写'刘钦达'，'违'字未见</t>
  </si>
  <si>
    <t>价银数字与税银数字草书存疑（若价银25两，3%税应为柒钱伍分，与所见'壹两'不符）</t>
  </si>
  <si>
    <t>Seller: 劉欽達(違) [LIU Qinda(wei)] -- Buyer: 劉王建 [LIU Wangjian] -- Place: 福建省建陽縣 [Fujian Sheng Jianyang Xian] --Government</t>
  </si>
  <si>
    <t>嘉庆贰拾贰年贰月 日</t>
  </si>
  <si>
    <t>林有柱</t>
  </si>
  <si>
    <t>契尾计开：业户林有柱买赵守藻田壹契，坐落□□</t>
  </si>
  <si>
    <t>用价银□拾柒(?)两；纳税银□两□钱□分</t>
  </si>
  <si>
    <t>福建布政使司契尾，布字贰万捌千捌拾叁号，钤侯官县印及布政使司印多方</t>
  </si>
  <si>
    <t>与 Folder 14 赵守藻1805年转典给'林处'的田契对应：十二年后林有柱买断并纳税，佃户林有栋与买主林有柱可能同族。右上角墨书'久树(?)'。</t>
  </si>
  <si>
    <t>价银、税银数字在印下，难以辨认</t>
  </si>
  <si>
    <t>Seller: 趙守藻 [ZHAO Shouzao] -- Buyer: 林有柱 [LIN Youzhu] -- Place: 福建省侯官縣 [Fujian Sheng Houguan Xian] -- Government</t>
  </si>
  <si>
    <t>道光</t>
  </si>
  <si>
    <t>道光贰年闰叁月吉日</t>
  </si>
  <si>
    <t>王志拔</t>
  </si>
  <si>
    <t>原父手置阄分；父在日重新起盖店屋；今因要用</t>
  </si>
  <si>
    <t>陈（陈处）</t>
  </si>
  <si>
    <t>坐产闽(?)邑嘉崇里八(?)甸一中肆保铺沙堤街地方</t>
  </si>
  <si>
    <t>店屋</t>
  </si>
  <si>
    <t>店屋＋地基／屋地</t>
  </si>
  <si>
    <t>前后两座店屋：原父于乾隆□拾年间用价银壹拾叁两买断陈林氏屋地一所，起盖肆柱店面一榈；嘉庆壹拾年间又用价银壹百贰拾两典得店后史尚才伍柱厝屋一进、二柱厨房一榈；嘉庆拾□年两座俱被火回禄，父在日鸠料将两主空地统重新起盖前伍柱店面一座、中拔榭贰榈又叁柱楼一榈、后拔榭伍榈，外空地一所，园篱一耳至江；道光元年拾贰月史尚才又向拔凑断出屋价银贰拾贰两；四至：前至官街，后至江，左至陈家屋，右至陈家屋，上至椽瓦，下至砾石地基</t>
  </si>
  <si>
    <t>得讫屋价银叁百两正纹广，外加修理银壹拾两，共成银叁百壹拾两</t>
  </si>
  <si>
    <t>陈务睦(?)（中友）；叶闻蔚(?)</t>
  </si>
  <si>
    <t>陈国梁(?)（在见）</t>
  </si>
  <si>
    <t>王兴朝（代笔）</t>
  </si>
  <si>
    <t>无县印；有'地保'长方朱戳（二四保铺保应陞(?)）</t>
  </si>
  <si>
    <t>约年限满之日听拔备价照契面并修理银两赎回，陈家不得执留；面约赎屋之日每两折钱壹千文，用下杭街钱店钱票</t>
  </si>
  <si>
    <t>随契统付上手契共十五纸（高林周、陈林氏、曾居盛、林文发、郑东人、史尚才等典断契），完整记录一座城区店屋数十年间的买、典、火灾重建、凑断经过；约定赎回时用下杭街钱店钱票。地保戳记显示城市铺保制度。</t>
  </si>
  <si>
    <t>目录作'王志拨?'与卖契，契文为'王志拔'，且实为典契</t>
  </si>
  <si>
    <t>里甸名、中友及在见人名字存疑；典期年限字迹模糊</t>
  </si>
  <si>
    <t>Seller: 王志撥？ [WANG Zhibo] -- Buyer: 陳 [CHEN] -- Personal</t>
  </si>
  <si>
    <t>道光玖年二月 日</t>
  </si>
  <si>
    <t>陈国远</t>
  </si>
  <si>
    <t>欠租佃户，立票人</t>
  </si>
  <si>
    <t>未写名（收租业主，应即黄隆贯）</t>
  </si>
  <si>
    <t>旧欠租米分期偿还</t>
  </si>
  <si>
    <t>旧欠租米壹石壹斗＋壹石零玖升</t>
  </si>
  <si>
    <t>叶宜全（保票人）</t>
  </si>
  <si>
    <t>吴青山（代字）</t>
  </si>
  <si>
    <t>无官印</t>
  </si>
  <si>
    <t>过期每斗每月加利米叁合，系保票代赔无词</t>
  </si>
  <si>
    <t>同纸两张欠租票：1) 凭票支旧欠租米壹石壹斗正，期至辛卯年八月初十日送仓交纳；2) 凭票支旧欠租米壹石零玖升正，期至辛卯年十二月二十日送仓交纳；两票均道光玖年二月立</t>
  </si>
  <si>
    <t>欠租转为带利息的期票，保人负代赔责任；立票人名字被墨圈圈出（可能表示已清偿注销）。</t>
  </si>
  <si>
    <t>目录把叶宜全列作 Buyer，实为保票人</t>
  </si>
  <si>
    <t>Seller: 陳國遠（立票人） [CHENG Guoyuan] -- Buyer: 葉宜全（保票人） [YE Yiquan] -- Personal</t>
  </si>
  <si>
    <t>旧欠租米分期偿还，期限延至乙未（1835）、丙申（1836）年</t>
  </si>
  <si>
    <t>旧欠租米共叁石柒斗余</t>
  </si>
  <si>
    <t>同纸三张欠租票，均道光玖年二月立：1) 旧欠租米壹石壹斗正，期至乙未年八月□日送仓；2) 旧欠租米壹石零玖升正，期至乙未年拾二月二十日送仓；3) 旧欠租米壹石伍斗贰升叁合叁勺，期至丙申年十二月二十日送仓</t>
  </si>
  <si>
    <t>与 Folder 21 同日所立同格式欠租票，但还期推至六七年之后，构成一个长期分期偿还计划；同一保人、同一代字人。</t>
  </si>
  <si>
    <t>第一票送仓日期字不全</t>
  </si>
  <si>
    <t>道光九年七月廿八日</t>
  </si>
  <si>
    <t>收租业主，立收字</t>
  </si>
  <si>
    <t>收到陈国远旧欠租米</t>
  </si>
  <si>
    <t>旧欠租米壹石肆斗正</t>
  </si>
  <si>
    <t>黄隆贯（自立）</t>
  </si>
  <si>
    <t>无官印；钤黄隆贯私章及两方菱形骑缝章</t>
  </si>
  <si>
    <t>证实 Folder 21、22 欠租票的债权人就是黄隆贯；黄隆贯从嘉庆十年（Folder 15）到道光九年一直向陈国远家收租。</t>
  </si>
  <si>
    <t>Seller: 黃隆貫 [HUANG Longguan] -- Buyer: 陳國遠 [CHEN Guoyuan] -- Place: unknown -- Personal</t>
  </si>
  <si>
    <t>分家书</t>
  </si>
  <si>
    <t>分家书／阄书</t>
  </si>
  <si>
    <t>道光拾柒年拾月 日</t>
  </si>
  <si>
    <t>义容（主阄父）</t>
  </si>
  <si>
    <t>父主持阄分；六子：长男良和（诗房）、次男良春（书房）、三男良吉（易房）、四男良禄（礼房）、五男良科（春房）、六男良提(?)（秋房）</t>
  </si>
  <si>
    <t>六子：良和、良春、良吉、良禄、良科、良提(?)</t>
  </si>
  <si>
    <t>养膳田坐产十七都曲山地，土名大垅等处</t>
  </si>
  <si>
    <t>屋＋田</t>
  </si>
  <si>
    <t>房屋按房分配：诗房上厝本厝左边正横厝第一直前壹橔，书房同第一直后壹橔，易房第贰直前壹橔，礼房第贰直后壹橔，春房第□直前壹橔，秋房第□直后壹橔；父抽养膳民田根壹号，受种贰斗，载租早米捌斗伍管，禾米肆斗，纳在县中侯处</t>
  </si>
  <si>
    <t>叔义安（公见）；兄良光（公见）；王绳喜（母舅）；毛元斯（表叔）</t>
  </si>
  <si>
    <t>陈明金（代笔叔公）</t>
  </si>
  <si>
    <t>无官印（私家文书）</t>
  </si>
  <si>
    <t>线装阄书一册共11页：封面'道光拾柒年拾月吉日立'；序文（父义容述兄弟和宜防争、请宗亲公见、按诗书易礼春秋六房阄分）；父抽养膳田一号；诗、书、易、礼、春、秋六房各一页，分得上厝本厝左边正横厝某直前／后壹橔；末页落款及立阄人、公见、母舅、表叔、代笔署名</t>
  </si>
  <si>
    <t>以《诗》《书》《易》《礼》《春》《秋》六字为六房阄号，是典型的儒雅化阄书；对房屋按'直''橔'精细切分。目录标为 Folder 24-1，可能还有同组其它册。</t>
  </si>
  <si>
    <t>目录 Owner 作'义容'，未写姓；阄书亦未见姓氏</t>
  </si>
  <si>
    <t>六男名'良提'、春秋两房的'第□直'数字存疑；养膳田数量字存疑；序文未逐字录</t>
  </si>
  <si>
    <t>Owner: 義容 [Yirong] -- Place: unknown -- Personal</t>
  </si>
  <si>
    <t>道光拾玖年十壹月 日</t>
  </si>
  <si>
    <t>叶国佑</t>
  </si>
  <si>
    <t>阄分己分；胞兄国佐在见，胞侄世枝、世桄仝见</t>
  </si>
  <si>
    <t>大绅（绅）</t>
  </si>
  <si>
    <t>坐址九都九保太平洋地方，土名俗呌里洋中坂</t>
  </si>
  <si>
    <t>福屯田壹号，该田肆亩贰分，乡正年收租早谷陆石小秤足；粮系屯课，推入绅户</t>
  </si>
  <si>
    <t>田价银陆拾伍两纹广整；外有中用钱捌百文</t>
  </si>
  <si>
    <t>周昌烈(?)（中人）</t>
  </si>
  <si>
    <t>胞兄叶国佐（在见）；胞侄叶世枝、叶世桄（仝见）</t>
  </si>
  <si>
    <t>钤红色斜方官印三方（红契）</t>
  </si>
  <si>
    <t>约限伍年满足外，任佑备价取赎，不论年限，绅不得揽留；赎田每两折钱捌百捌拾文</t>
  </si>
  <si>
    <t>典的是'屯田'（屯课），粮由'九都叶步增福屯'户内推出；并缴原典契壹纸、尽契壹纸、借字壹纸共肆纸。契末大字'典契(?)'。受典人只写'大绅'，可能是对士绅的敬称。</t>
  </si>
  <si>
    <t>目录作卖契、买主'绅'；契文为典契</t>
  </si>
  <si>
    <t>中人名、租谷数存疑；'大绅'是否人名存疑</t>
  </si>
  <si>
    <t>Seller: 葉國佑 [YE Guoyou] -- Buyer: 紳 [SHEN] -- Place: 福建省古田縣 [Fujian Sheng Gutian Xian] -- Government</t>
  </si>
  <si>
    <t>道光贰拾年□月 日</t>
  </si>
  <si>
    <t>林氏（母）</t>
  </si>
  <si>
    <t>女</t>
  </si>
  <si>
    <t>寡母主持为二子阄分；长男国诗、次男国书</t>
  </si>
  <si>
    <t>长男国诗、次男国书（福、禄二房）</t>
  </si>
  <si>
    <t>土名半塘垅、虎啸、马路边、白龙山等处（县未写）</t>
  </si>
  <si>
    <t>田＋屋＋池塘＋坟地</t>
  </si>
  <si>
    <t>祖遗山场屋宇田园：养膳田（郭大珠早晚租谷陆百肆拾斤等）；大厅、后厅、天井、左右披屋、大厝左边楼等房屋；田（郭其泉、陈肇祺、周雍美等佃，租谷数百斤至壹千余斤）；门前大池壹口（鱼利两房轮收）；陈兆熙造坟等</t>
  </si>
  <si>
    <t>林长宾(?)（在见）；勇(?)春(?)（在见）；陈必祥；杨能波(?)；李仕□；林文愿(?)</t>
  </si>
  <si>
    <t>李龙泉(?)</t>
  </si>
  <si>
    <t>母亲（林氏）作为立阄人主持分家，体现寡母在家产分配中的权威；池塘、鱼利、粮色按年轮值；纸张多处虫蛀成洞。契末大字'大长发其祥'。</t>
  </si>
  <si>
    <t>目录 Owner 作'林氏'；契文为'母林氏'</t>
  </si>
  <si>
    <t>纸张大面积虫蛀，许多田名、租额、见人姓名残缺；月份不清</t>
  </si>
  <si>
    <t>Owner: 林氏 [LIN Shi] -- Personal</t>
  </si>
  <si>
    <t>其他（禁鸦片保甲门牌）</t>
  </si>
  <si>
    <t>道光贰拾年分</t>
  </si>
  <si>
    <t>闽清县正堂徐（知县）</t>
  </si>
  <si>
    <t>官方</t>
  </si>
  <si>
    <t>县官颁发的保甲门牌</t>
  </si>
  <si>
    <t>陈行典(?)（家长）</t>
  </si>
  <si>
    <t>闽清县上十七都□图</t>
  </si>
  <si>
    <t>其他／非土地</t>
  </si>
  <si>
    <t>其他（户籍门牌，非土地）</t>
  </si>
  <si>
    <t>家长陈行典(?)，不吸烟，年六十八岁，以耕田为业；子立崇，孙邦栋、邦腾、邦镇、邦增、邦煜、邦曾(?)、邦炽，曾孙元具；侄立训、立拱(?)，侄孙邦仪、邦夫(?)、邦佑；十家联保陈立灿等；牌正陈孝朗、副陈孝炳；甲正余邦干、副黄金波</t>
  </si>
  <si>
    <t>木刻印刷官颁门牌，盖有长方形墨印</t>
  </si>
  <si>
    <t>鸦片战争当年（道光二十年）闽清县'查禁鸦片派保门牌'，逐户登记是否吸烟，并引新例：限一年六个月内戒除，逾限者拟绞监候，十家联保连坐。是土地契约外的社会控制史料。</t>
  </si>
  <si>
    <t>目录 Owner 作'陈行典'，门牌家长名字'行典'字迹模糊</t>
  </si>
  <si>
    <t>家长名、部分孙辈名字为手写小字，存疑；图号空白</t>
  </si>
  <si>
    <t>Owner: 陳行典 [CHENG Xingdian] -- Place: 福建省閩清縣 [Fujian Sheng Minqing Xian] -- Personal</t>
  </si>
  <si>
    <t>道光贰拾年八月 日</t>
  </si>
  <si>
    <t>刘孝良（仝弟刘孝清）</t>
  </si>
  <si>
    <t>兄弟同立；承祖遗手置有税山；声明系良、清承祖遗，与别房无干</t>
  </si>
  <si>
    <t>林高满</t>
  </si>
  <si>
    <t>十四都重坑地方，土名桔(?)模(?)坪等处；又土名深田址</t>
  </si>
  <si>
    <t>山／山林＋屋＋地基／屋地</t>
  </si>
  <si>
    <t>税山壹所（内抽出黄(?)甜竹林壹所），四至：上至顶、下至田、左至哲焕(?)失路直上、右至胡家墓仑中宫直上；又卖税山土名深田址，界上下左右水流窝；前坂厝屋壹扇左边等处（中宫直上至椽桁、下至地基）及右边园坪壹半、上下余地；山场松杉什木、笋竹、桐茶等</t>
  </si>
  <si>
    <t>卖出价钱壹拾壹千伍百文；民国验契按卖价拾贰圆，纳税肆角捌分</t>
  </si>
  <si>
    <t>铜钱</t>
  </si>
  <si>
    <t>朱明贵（代字中）</t>
  </si>
  <si>
    <t>宗兄佑志（在见）；仝弟刘孝清</t>
  </si>
  <si>
    <t>白契上贴民国印花税票；附民国二十六年福建省财政厅官契纸（闽清县印、财政厅印，契税4%）</t>
  </si>
  <si>
    <t>卖断；林家永远入宅住居，刘家不敢异言；如刘家另有吉地，林家不得借批阻；山租钱每年壹百文交还刘家</t>
  </si>
  <si>
    <t>1) 分卖山契，道光贰拾年八月，刘孝良仝弟孝清将十四都重坑税山一所及庄基地、厝屋卖与林高满，价钱壹拾壹千伍百文；契上贴民国印花税票数枚；2) 福建省财政厅颁发卖契纸（官契纸），中华民国二十六年五月二十七日，闽清县，业主林高满，不动产种类税山，坐落重坑，面积一所，卖价拾贰圆，应纳税银肆角捌分，出卖人刘孝良，中证人朱明贵，立契年月填'道光二十年八月'</t>
  </si>
  <si>
    <t>清道光白契在近百年后（1937）被持去补税并换领民国官契纸，价钱折为法币拾贰圆。卖主保留每年山租钱壹百文。契首大字'大进益(?)'。</t>
  </si>
  <si>
    <t>目录年代1840–1937与正契、官契纸吻合</t>
  </si>
  <si>
    <t>部分土名（桔模坪、黄甜竹林）及四至人名存疑；官契纸字号不清</t>
  </si>
  <si>
    <t>Seller: 劉孝良 [LIU Xiaoliang] -- Buyer: 林高滿 [LIN Gaoman] -- Place: 福建省閩清縣 [Fujian Sheng Minqing Xian] -- Government</t>
  </si>
  <si>
    <t>1840 to 1937</t>
  </si>
  <si>
    <t>胎借／借字</t>
  </si>
  <si>
    <t>道光贰拾壹年辛丑二月十六日</t>
  </si>
  <si>
    <t>林忠、林荣（兄弟）</t>
  </si>
  <si>
    <t>兄弟同立当季字；会份系自己续买赖绍福名下</t>
  </si>
  <si>
    <t>赖荣松（先生）</t>
  </si>
  <si>
    <t>其他（关帝会会份）</t>
  </si>
  <si>
    <t>关帝季（神明会）式大股，原由赖绍福名下续买</t>
  </si>
  <si>
    <t>佛银陆大圆正，共重□□</t>
  </si>
  <si>
    <t>番银</t>
  </si>
  <si>
    <t>赖祥福（在场见人）</t>
  </si>
  <si>
    <t>弟(?)荣（执笔）</t>
  </si>
  <si>
    <t>无官印；纸张四周裱有蓝色织锦边</t>
  </si>
  <si>
    <t>每员每月行息式分，其银的限对期之日并本息一足兑还；如违，任凭银主将季起取，改名饮酒分承</t>
  </si>
  <si>
    <t>抵押品不是土地而是'关帝季'会份（神明会股份），违约则债主可改名入会'饮酒分承'；当日交付买季契二纸。用'佛银大圆'（西班牙银元）计价。</t>
  </si>
  <si>
    <t>目录作卖主/买主，实为以会份作抵押的当借字</t>
  </si>
  <si>
    <t>执笔人名字存疑；重量数字不清</t>
  </si>
  <si>
    <t>Seller: 林忠 [LIN Zhong] and 林榮[LIN Rong]-- Buyer: 賴榮松 [LAI Rongsong] -- Place: Unknown -- Personal</t>
  </si>
  <si>
    <t>合同／约字</t>
  </si>
  <si>
    <t>合同</t>
  </si>
  <si>
    <t>道光贰拾贰年拾贰月念五日</t>
  </si>
  <si>
    <t>黄惟裕、黄惟岑</t>
  </si>
  <si>
    <t>两家田池相连致口角争端，经亲友公议立合约</t>
  </si>
  <si>
    <t>田＋池塘</t>
  </si>
  <si>
    <t>一家掌田、一家掌池；田边在池边者递年池水润田，约至春三月末为限；其池土岑内应半埕(?)；侯池主幸(?)池之日挑回应用</t>
  </si>
  <si>
    <t>池土公估价钱叁百伍拾文（田主再买池土）</t>
  </si>
  <si>
    <t>黄孝甲（公亲）；黄继书（公亲）；黄廉镜（公亲）；黄廉阜（公亲）；黄绍度（公亲）</t>
  </si>
  <si>
    <t>黄继书（代笔）</t>
  </si>
  <si>
    <t>同族两家调处田与池塘用水、挖池土纠纷的合约，规定放水时限、池土归属和修理责任；左端有骑缝大字'合同二纸(?)'半字。</t>
  </si>
  <si>
    <t>目录只列卖主，实为调解合约</t>
  </si>
  <si>
    <t>岑内应半埕''幸池'等词语存疑</t>
  </si>
  <si>
    <t>Seller: 黃維裕 [HUANG Weiyu] and 黃維岑[HUANG Weicen] -- Personal</t>
  </si>
  <si>
    <t>典＋找贴</t>
  </si>
  <si>
    <t>典契＋找贴契／贴尽契（凑断契）</t>
  </si>
  <si>
    <t>道光贰拾肆年贰月吉日（典）；道光贰拾伍年陆月吉日（凑断）</t>
  </si>
  <si>
    <t>林厚成（同胞弟厚禄、厚祥，胞侄春新）</t>
  </si>
  <si>
    <t>承父在日手置店屋；兄弟叔侄同立，知契母郭氏，胞嫂陈氏画押</t>
  </si>
  <si>
    <t>叶家（叶成）</t>
  </si>
  <si>
    <t>侯邑魁辅铺地方</t>
  </si>
  <si>
    <t>店屋壹栋，坐南朝北，前进五柱、天井、左右过水、第二进五柱、过水相连、后进叁柱，连楼阁地坪、门窗户扇、井厕一切；四至：前至官街、后至河、左至叶家屋、右至金(?)家屋</t>
  </si>
  <si>
    <t>典价银陆拾伍两正＋修理银伍两共成柒拾两；凑断银叁拾两，共成壹百两正，正纹广九七色</t>
  </si>
  <si>
    <t>林道吉</t>
  </si>
  <si>
    <t>知契母郭氏；胞嫂陈氏；胞弟厚祥；胞弟厚禄；胞侄春新；胞孀李氏（在见）；陈元海（在见）</t>
  </si>
  <si>
    <t>蒋则荣</t>
  </si>
  <si>
    <t>契面钤多枚朱红大方印（疑为侯官县印，红契）；地保'勤慎'戳记（侯字第拾玖号城内，魁辅铺地保）；1950年代台江区私房改造办公室'国家经租'印及福州土地登记处登记章</t>
  </si>
  <si>
    <t>典契约伍年为限，限满听备价取赎；凑断后声明永断葛藤，不得言赎言凑</t>
  </si>
  <si>
    <t>①典契：道光贰拾肆年贰月，林厚成同胞弟等将店屋典与叶家，价银陆拾伍两＋修理银伍两共柒拾两，约伍年为限取赎；②凑断契：道光贰拾伍年陆月，林厚成仝胞弟厚禄、厚祥、胞侄春新将该店屋凑断与叶家，再得价银叁拾两，连前共成壹百两正；凑断契上另加盖1950年代'国家经租 台江区人民委员会私房改造办公室'蓝印及'福州土地登记处'红色登记章（义字230号）</t>
  </si>
  <si>
    <t>同一店屋先典后凑断，两份契纸并存，凑断契注明缴原典契一纸；1950年代被盖'国家经租'章，反映社会主义私房改造。与 Folder 34（31735066267802）为同一交易的契尾与民国验契。</t>
  </si>
  <si>
    <t>目录作卖契（Seller/Buyer），实为典契加凑断契；目录未列胞弟厚禄为'厚禄'外另有胞侄春新</t>
  </si>
  <si>
    <t>典契右至'金(?)家屋'；代笔'蒋则荣'末字；凑断契左侧残缺，中人等签押可能缺失</t>
  </si>
  <si>
    <t>Seller: 林厚成 [LIN Houcheng] and 林厚祿 [Lin Houlu] and 林厚祥 [Lin Houxiang] -- Buyer: 葉成 [YE Cheng] -- Place: 福建省侯官縣 [Fujian Sheng Houguan Xian] -- Personal</t>
  </si>
  <si>
    <t>1844 to 1845</t>
  </si>
  <si>
    <t>道光贰拾玖年拾贰月 日</t>
  </si>
  <si>
    <t>林元梁(?)</t>
  </si>
  <si>
    <t>契尾填写'业户林元昂(?)买林元梁(?)山一所'</t>
  </si>
  <si>
    <t>林元昂(?)</t>
  </si>
  <si>
    <t>古田县，本处土名□□、对面山等处</t>
  </si>
  <si>
    <t>山／山林</t>
  </si>
  <si>
    <t>山一所，坐落本处土名□□、对面山等处</t>
  </si>
  <si>
    <t>用价银贰拾伍两陆钱叁分；纳税银□两柒钱陆分玖厘</t>
  </si>
  <si>
    <t>福建布政使司颁刻印契尾，布字第捌千贰百捌拾伍号，右给古田县业户；钤多枚官印（骑缝）</t>
  </si>
  <si>
    <t>官颁契尾，仅存契尾不见原契；契尾顶部骑缝处手书号数'捌千贰百捌拾伍'。</t>
  </si>
  <si>
    <t>目录业主作'林元鼎'，图像上业户名末字更像'昂'</t>
  </si>
  <si>
    <t>业户名'林元昂/鼎'、卖主'林元梁'末字、纳税银两数首字均不确定；土名不清</t>
  </si>
  <si>
    <t>Owner: 林元鼎 [LIN Yuanding] -- Place: 福建省古田縣 [Fujian Sheng Gutian Xian] -- Government</t>
  </si>
  <si>
    <t>卖契（田根，限期可赎）</t>
  </si>
  <si>
    <t>道光叁拾年玖月吉日</t>
  </si>
  <si>
    <t>林世奕</t>
  </si>
  <si>
    <t>承父阄分份下民田根；知契母萧氏</t>
  </si>
  <si>
    <t>林（名空缺）</t>
  </si>
  <si>
    <t>侯邑三十八都白龙洋地方，土名园坵、深田</t>
  </si>
  <si>
    <t>田根</t>
  </si>
  <si>
    <t>民田根壹号大小伍坵，土名园坵，计官丈贰亩零，年载租谷叁百贰拾肆筋平秤纳在周家；更有壹号土名深田，计官丈壹亩伍分，年载禾租谷壹百贰拾筋平秤纳在面主李家</t>
  </si>
  <si>
    <t>田根价银贰百两正，平戥九七色</t>
  </si>
  <si>
    <t>翁太湖</t>
  </si>
  <si>
    <t>知契母萧氏；胞兄世美（在见）；胞兄世乔(?)（在见）；胞弟世廷</t>
  </si>
  <si>
    <t>王凤鸣</t>
  </si>
  <si>
    <t>约伍年为限，限满听世奕备价照契面银两取赎；如未取赎仍听买主管业</t>
  </si>
  <si>
    <t>典型一田二主：卖的是田根，租谷分别纳给周家和面主李家；买主仅写'林'字留空，契末大书'大熟'。另缴原契壹纸，共成贰纸。</t>
  </si>
  <si>
    <t>在见'世乔'一名排列不清</t>
  </si>
  <si>
    <t>Seller: 林世奕 [LIN Shiyi] -- Buyer: 林 [LIN] -- Place: 福建省侯官縣 [Fujian Sheng Houguan Xian] -- Personal</t>
  </si>
  <si>
    <t>33A</t>
  </si>
  <si>
    <t>卖断契</t>
  </si>
  <si>
    <t>道光叁拾年拾壹月 日</t>
  </si>
  <si>
    <t>游振梅</t>
  </si>
  <si>
    <t>道光十五年间用价买断陈□□店屋，今转卖；知契母张氏</t>
  </si>
  <si>
    <t>杨家（杨坤贞）</t>
  </si>
  <si>
    <t>闽邑嘉崇里八(?)图壹甲四保铺洲(?)堤街地方</t>
  </si>
  <si>
    <t>店屋壹座，前系店面伍柱壹栋，后天井、披屋叁栋叁堵，又后进一所，楼阁横廊、板地杆廊一切俱全；四至：前至官街、后至江、左至郑家墙、右至陈家</t>
  </si>
  <si>
    <t>卖断出价银玖拾陆两，正纹库平；民国契纸载价壹百捌拾壹元</t>
  </si>
  <si>
    <t>杨隆魁；郑廷源</t>
  </si>
  <si>
    <t>知契母张氏；弟振潮（在见）；弟振文；侄连提；出继男连芳；胞母舅(?)张昌□；胞姊黄游氏</t>
  </si>
  <si>
    <t>周绅杨(?)</t>
  </si>
  <si>
    <t>清代契尾（闽县，官印）；民国十二年新颁卖契纸（新颁契纸印）；民国十四年(?)福建财政厅验税契照；光绪年间朱色注记</t>
  </si>
  <si>
    <t>卖断，永断葛藤，不得言赎</t>
  </si>
  <si>
    <t>①卖断契：道光叁拾年拾壹月，游振梅将店屋卖断与杨家；②契尾：闽县，□万壹千壹百肆拾玖号，右给闽县业户杨坤贞，载'杨坤贞买游振梅屋一所'；③民国新颁卖契纸：中华民国十二年五月四日，买主杨坤贞、卖主游振梅、中人杨隆魁，不动产种类店屋，卖价壹百捌拾壹元，应纳税额捌元贰角叁占(?)，原契'清红'，立契年月道光卅年十一月，坐落嘉崇里□保铺；④验税契照：中华民国十四年(?)五月，福建财政厅给业户杨坤贞；原契另有光绪拾壹年伍月、光绪廿一年六月红色注记戳</t>
  </si>
  <si>
    <t>一件之内串连清代卖断契、契尾、民国换契与验契四种文书，跨越1850-1925年；民国换契时按银元重估价格。契末书'长发其祥'。</t>
  </si>
  <si>
    <t>地名'八图''洲堤街'、陈姓原主名、代字人名、民国验契年份（十四年?）与税额均存疑</t>
  </si>
  <si>
    <t>Seller: 游振梅 [pin yin] -- Buyer: 楊坤貞 [pin yin] -- Place: 福建省閩縣 [Fujian Sheng Min Xian] -- Personal</t>
  </si>
  <si>
    <t>1850 to 1923</t>
  </si>
  <si>
    <t>契尾＋验契凭证</t>
  </si>
  <si>
    <t>4 咸同光宣（1851-1911）</t>
  </si>
  <si>
    <t>咸丰</t>
  </si>
  <si>
    <t>咸丰肆年□月（契尾）；中华民国贰年拾贰月（契单）</t>
  </si>
  <si>
    <t>林厚成</t>
  </si>
  <si>
    <t>原卖主（道光二十五年凑断）</t>
  </si>
  <si>
    <t>叶成</t>
  </si>
  <si>
    <t>侯官县魁辅铺／闽侯县魁辅里地方</t>
  </si>
  <si>
    <t>店屋壹栋，坐南向北</t>
  </si>
  <si>
    <t>价银壹百两；纳税银叁两</t>
  </si>
  <si>
    <t>陈元海（证）</t>
  </si>
  <si>
    <t>布政司契尾（侯官县官印）；民国二年福建国税厅筹备处卖断契单（验契，纸价壹元）；地保戳记</t>
  </si>
  <si>
    <t>①契尾：咸丰肆年□月，布字壹万玖百玖号，右给侯官县业户叶成，载'业户叶成买林厚成等店屋'，用价银壹百两，纳税银叁两；契尾粘连原典契末段（代笔蒋则荣、中友林道吉、地保'勤慎'戳、'大进'字样）；②卖断契单：福建国税厅筹备处颁，中华民国贰年拾贰月，验字第八万四千四百十七号，载业户叶成于清道光贰拾伍年陆月买受林厚成店屋壹栋，坐落闽侯县魁辅里，价银壹百两，证人陈元海；另有民国十五年三月九日朱色注记</t>
  </si>
  <si>
    <t>与 Folder 31（31735066266374）为同一店屋的后续官方文书：交易1845年完成，1854年才投税领契尾，1913年再验契。</t>
  </si>
  <si>
    <t>目录作1854-1913，与图像相符</t>
  </si>
  <si>
    <t>契尾月份、号数个别字不清</t>
  </si>
  <si>
    <t>Owner: 葉成 [YE Cheng] --Seller: 林厚成 [LIN Houcheng] -- Buyer: 葉成 [YE Cheng] -- Place: 福建省閩侯縣和侯官縣[Fujian Sheng Minhou Xian and Houguan Xian] -- Government</t>
  </si>
  <si>
    <t>1854 to 1913</t>
  </si>
  <si>
    <t>咸丰八年十二月吉日</t>
  </si>
  <si>
    <t>陈士曾</t>
  </si>
  <si>
    <t>原自己阄分份下根面全田；卖与堂兄</t>
  </si>
  <si>
    <t>陈士庆（堂兄）</t>
  </si>
  <si>
    <t>侯邑廿八都富村地方，土名过圳、洋满池等处</t>
  </si>
  <si>
    <t>田（根面全）</t>
  </si>
  <si>
    <t>田（根面全）＋池塘</t>
  </si>
  <si>
    <t>根面全田叁号：土名过圳计官丈壹亩捌分，粮挂壹亩捌分；土名洋满池官丈肆分零，粮挂本都四图九甲陈纯户下；另一号粮挂本都四图四甲陈孟寿户下；年纳租谷叁百肆拾伍筋；内有池壹口，其水永听律派足用</t>
  </si>
  <si>
    <t>南街铜钱壹百叁拾千文正</t>
  </si>
  <si>
    <t>陈开文（族叔）</t>
  </si>
  <si>
    <t>胞弟士美（在见）</t>
  </si>
  <si>
    <t>卢(?)志高</t>
  </si>
  <si>
    <t>契面钤朱红方印数枚（疑为侯官县印，红契）</t>
  </si>
  <si>
    <t>卖断，永断葛藤，不得别生枝节</t>
  </si>
  <si>
    <t>兄弟间根面全田卖断，粮户分挂于陈纯户、陈孟寿户，可见户籍粮户与实际业主分离；价以铜钱计，单位'千文'。契末'永远为业'。</t>
  </si>
  <si>
    <t>目录地点作unknown，契文明写侯邑廿八都富村</t>
  </si>
  <si>
    <t>第三号田土名及部分亩分、代字人首字不清；price_amount按文计</t>
  </si>
  <si>
    <t>Seller: 陳士曾 [CHEN Shizeng] -- Place: unknown -- Government</t>
  </si>
  <si>
    <t>同治</t>
  </si>
  <si>
    <t>同治壬戌元年柒月 日</t>
  </si>
  <si>
    <t>张华富</t>
  </si>
  <si>
    <t>承祖遗下</t>
  </si>
  <si>
    <t>程金宝</t>
  </si>
  <si>
    <t>田里南坑，土名凤坑仔</t>
  </si>
  <si>
    <t>皮骨茶山壹片（连竹、茶、杂木）；四至：上至岗顶、下至田、左至本张宅分水为界、右至亦本张分水为界</t>
  </si>
  <si>
    <t>时值价铜钱捌仟五百文正</t>
  </si>
  <si>
    <t>张华春（为中人）；张喜孙（说谕人）</t>
  </si>
  <si>
    <t>张华应（在见人）</t>
  </si>
  <si>
    <t>詹王佐</t>
  </si>
  <si>
    <t>卖断，永远管业，不得阻执</t>
  </si>
  <si>
    <t>皮骨（山面山底）一并卖断；声明上手契一时不及寻出，日后寻出不堪行用。契尾大书'卖断契'。</t>
  </si>
  <si>
    <t>地名'田里'所属县份无法判断</t>
  </si>
  <si>
    <t>Seller: 张华富 [ZHANG Huafu] -- Personal</t>
  </si>
  <si>
    <t>典契（田根）</t>
  </si>
  <si>
    <t>同治元年八月吉日</t>
  </si>
  <si>
    <t>杨兆通</t>
  </si>
  <si>
    <t>承父阄分份下民田根</t>
  </si>
  <si>
    <t>侯邑三十八都白龙坛路地方，土名鲫鱼坵</t>
  </si>
  <si>
    <t>田根＋池塘</t>
  </si>
  <si>
    <t>民田根壹号，计官丈贰亩伍分，大小三坵、池壹口，共肆坵；年纳面主王家早晚租谷叁百伍拾筋平秤</t>
  </si>
  <si>
    <t>田根价银贰百捌拾叁两伍钱正；取赎每两银折铜钱柒百伍拾文</t>
  </si>
  <si>
    <t>蔡书波（中友）；李兆桐</t>
  </si>
  <si>
    <t>胞弟兆如；堂侄能波；刘朝达（在见）</t>
  </si>
  <si>
    <t>李肇(?)松</t>
  </si>
  <si>
    <t>叁年为限，限满听兆通备价照契面银取赎，每两折钱柒百伍拾文；约赎田以冬至前为期</t>
  </si>
  <si>
    <t>并缴上手杨昌岳(?)典契、邦铭尽契、海武断契共成肆纸，可见此田根层层转手；与 Folder 33 林世奕契同在三十八都白龙一带，买主同为空名'林'，疑为同一林姓置产人。</t>
  </si>
  <si>
    <t>目录作Seller，实为典契</t>
  </si>
  <si>
    <t>上手契人名'昌岳''邦铭''海武'及代笔名中字不确定</t>
  </si>
  <si>
    <t>Seller: 楊兆通 [YANG Zhaotong] -- Buyer: 林 [LIN] -- Personal</t>
  </si>
  <si>
    <t>找贴契／贴尽契（增找字）</t>
  </si>
  <si>
    <t>同治贰年拾二月 日</t>
  </si>
  <si>
    <t>黄志林</t>
  </si>
  <si>
    <t>自己手卖有田骨，前契载明</t>
  </si>
  <si>
    <t>刘子祥</t>
  </si>
  <si>
    <t>（前契载明，本字未写）</t>
  </si>
  <si>
    <t>田骨，坐落、米数、银两俱载前契</t>
  </si>
  <si>
    <t>增找出洋银叁两正；外用中见礼洋银壹钱正</t>
  </si>
  <si>
    <t>银元／大洋</t>
  </si>
  <si>
    <t>蔡廷有（为中在见人）；刘贵年(?)（为中在见人）</t>
  </si>
  <si>
    <t>刘立忠(?)</t>
  </si>
  <si>
    <t>无官印；立字人及中见、代笔各钤小私章</t>
  </si>
  <si>
    <t>增找之后任凭买主前去收租管业，卖者再无言增言找</t>
  </si>
  <si>
    <t>托原中刘谕向买主增找，属卖后加找；各签名处钤有朱色私章，较少见。</t>
  </si>
  <si>
    <t>目录买主作'刘子珜'，契文似'刘子祥'；目录无日期，契为同治二年</t>
  </si>
  <si>
    <t>原中名、为中人第二名及代笔名存疑</t>
  </si>
  <si>
    <t>Seller: 黃志林 [HUANG Zhilin] -- Buyer: 劉子珜 [LIU Ziyang] -- Personal</t>
  </si>
  <si>
    <t>找贴契／贴尽契（会贴尽契）</t>
  </si>
  <si>
    <t>同治叁年叁月 日</t>
  </si>
  <si>
    <t>杨门郑氏娇姑</t>
  </si>
  <si>
    <t>寡妇（故夫杨大松），以夫阄分己业民田立契；知契养仔</t>
  </si>
  <si>
    <t>□（疑为夫胞叔浩士房男大钧等，或张利禧）</t>
  </si>
  <si>
    <t>土名东洋及溪井仔</t>
  </si>
  <si>
    <t>民田壹号，土名东洋及溪井仔，租石钱粮俱载原典契</t>
  </si>
  <si>
    <t>会贴尽出价银伍拾两正；外中用银壹两五钱正</t>
  </si>
  <si>
    <t>法功江；张正平（劝谕中）</t>
  </si>
  <si>
    <t>夫胞弟大桐（在见）；养仔（知契）</t>
  </si>
  <si>
    <t>徐乾三</t>
  </si>
  <si>
    <t>契尾（古田县，布政司官印）；正契无官印</t>
  </si>
  <si>
    <t>贴尽之后不得言赎言贴；原契约同治伍年冬取赎，逾限不得取赎</t>
  </si>
  <si>
    <t>①会贴尽契：同治叁年叁月，杨门郑氏娇姑因故夫大松阄分民田出典后再贴尽，得价银伍拾两；②契尾：同治拾壹年叁月，布字叁千贰百拾肆号，右给古田县业户张利禧，载张利禧于咸丰四年买郑章世(?)春苗田壹号，坐落二十一都地方土名浴(?)叶油行门首，民田肆亩，价银壹百肆拾两，纳税银肆两贰钱</t>
  </si>
  <si>
    <t>寡妇出名立契，田先典给本族，后多次转手再'会贴尽'；所附契尾与正契人名、年代不对应（业户张利禧，咸丰四年买田），可能是同一田的另一层交易记录。</t>
  </si>
  <si>
    <t>目录买主作'郑淳氏'，图像未见此名；契尾业户为张利禧</t>
  </si>
  <si>
    <t>正契草书潦草，承接人名、转售经过、知契人名多处无法确认；契尾土名'浴叶'及卖主名存疑</t>
  </si>
  <si>
    <t>Owner: 張利禧 [ZHANG Lixi] --Seller: 鄭嬌姑 [ZHENG Jiaogu] -- Buyer: 鄭淳氏 [ZHENGchunshi] -- Place: 福建省古田縣 [Fujian Sheng Gutian Xian] -- Government</t>
  </si>
  <si>
    <t>1864 to 1872</t>
  </si>
  <si>
    <t>39A</t>
  </si>
  <si>
    <t>同治叁年捌月 日</t>
  </si>
  <si>
    <t>吴开扬</t>
  </si>
  <si>
    <t>陈世旺</t>
  </si>
  <si>
    <t>屋一所（坐落处字迹模糊）</t>
  </si>
  <si>
    <t>用价银陆拾伍两；纳税银壹两玖钱伍分</t>
  </si>
  <si>
    <t>布政司颁契尾，布字肆千壹百柒拾贰号，右给闽县业户陈世旺；钤闽县官印多枚，顶部骑缝号'闽字肆万□□'</t>
  </si>
  <si>
    <t>仅存契尾，税率按价银3%。</t>
  </si>
  <si>
    <t>坐落地名不清</t>
  </si>
  <si>
    <t>Seller: 吳開揚 [WU Kaiyang] -- Buyer: 陳世旺 [CHEN Shiwang] -- Place: 福建省閩縣 [Fujian Sheng Min Xian] -- Government</t>
  </si>
  <si>
    <t>同治肆年拾贰月吉日</t>
  </si>
  <si>
    <t>僧德诠</t>
  </si>
  <si>
    <t>僧道</t>
  </si>
  <si>
    <t>承师祖遗下寺田面；因修理佛殿要用而卖；粮色立在草市都一甲僧德祖户下</t>
  </si>
  <si>
    <t>侯邑草市都马坑等处地方</t>
  </si>
  <si>
    <t>寺田面叁号，计官丈贰亩叁分贰厘伍毛捌忽，年载面租谷肆百肆拾壹筋；计开：地字四区三百二十八号土名马路下下寺田、三百三十号土名马路下下寺田、三百四十七号土名墓路即井嘴下寺田，各载租谷</t>
  </si>
  <si>
    <t>镜银壹拾捌两正，库码足色</t>
  </si>
  <si>
    <t>郑昌颐（中见）；林万斌（中见）</t>
  </si>
  <si>
    <t>师弟德缘（在见）；师侄凤来（在见）</t>
  </si>
  <si>
    <t>吴为相</t>
  </si>
  <si>
    <t>钤朱红方印两枚（疑为县印，红契）</t>
  </si>
  <si>
    <t>卖断，永断葛藤，永远为业；声明系祖遗，无原契缴付</t>
  </si>
  <si>
    <t>寺僧以师徒传承关系出卖寺田，粮户仍以僧名立户；田号采用'地字四区某号'鱼鳞册式编号。</t>
  </si>
  <si>
    <t>目录作1866，契为同治四年十二月（公历约1866年初）</t>
  </si>
  <si>
    <t>中见'林万斌'末字略存疑</t>
  </si>
  <si>
    <t>Seller: 德詮（僧人） [Dequan] -- Place: 福建省侯官縣 [Fujian Sheng Houguan Xian] -- Government</t>
  </si>
  <si>
    <t>同治伍年叁月吉日</t>
  </si>
  <si>
    <t>林春源</t>
  </si>
  <si>
    <t>承父遗产</t>
  </si>
  <si>
    <t>王家（王元霭?）</t>
  </si>
  <si>
    <t>闽邑嘉崇里秋龙巷</t>
  </si>
  <si>
    <t>二柱破屋一直三堵＋残地一块（在王家店后）；四至：屋前至王家店、后至王家屋、左至李家屋、右至翰家屋；地前至翰家屋、后至王家屋</t>
  </si>
  <si>
    <t>足色镜银库砝壹拾弍两正</t>
  </si>
  <si>
    <t>陈友梅</t>
  </si>
  <si>
    <t>堂叔长发（画圈）；堂弟春荣</t>
  </si>
  <si>
    <t>张东中</t>
  </si>
  <si>
    <t>卖断，声明不得取赎、凑尽</t>
  </si>
  <si>
    <t>契首'王'字抬头；地保一栏空缺；注明王姓在店后居住者出入皆由王家店内而行；'内涂遗一字'标记。与 Folder 48（王元霭）为同一交易后续。</t>
  </si>
  <si>
    <t>Seller: 林春源 [LIN Chunyuan] -- Place: 福建省閩邑 [Fujian Sheng Min Yi] -- Personal</t>
  </si>
  <si>
    <t>典契（拨缴典契）</t>
  </si>
  <si>
    <t>同治伍年肆月吉日</t>
  </si>
  <si>
    <t>杨鹏超</t>
  </si>
  <si>
    <t>承祖在日手置、阄分嗣父份下；知契祖妣薛氏、嗣母郭氏</t>
  </si>
  <si>
    <t>林家</t>
  </si>
  <si>
    <t>侯邑西关外草市都井边亭地方，土名大秧地</t>
  </si>
  <si>
    <t>民田面壹号（地字□百号），中则田民池计官丈叁亩陆分，年共面租谷捌百伍拾筋；内拨出壹半，计应田壹亩伍分叁厘零，应面租谷肆百贰拾伍筋；粮色立在草市都柒甲杨绍标户下</t>
  </si>
  <si>
    <t>田价银贰拾玖两柒钱伍分正，纹广</t>
  </si>
  <si>
    <t>林万开（中友）</t>
  </si>
  <si>
    <t>知契祖妣薛氏；嗣母郭氏；胞伯敦志（在见）</t>
  </si>
  <si>
    <t>堂伯敦琏(?)</t>
  </si>
  <si>
    <t>契面钤县印（红契）；附布政司契尾（同治十年）</t>
  </si>
  <si>
    <t>陆年为限，限满听备价照契面银两取赎；约赎田之日每两银折钱□伍拾文</t>
  </si>
  <si>
    <t>①拨缴典契：同治伍年肆月，杨鹏超将承祖阄分民田面半号拨出缴典与林家，价银贰拾玖两柒钱伍分；②契尾：同治拾年叁月，布字壹万伍千陆百陆拾伍号，右给侯官县业户林□，载林家典杨鹏超田，价银贰拾玖两柒钱伍分，纳税银捌钱玖分贰厘伍毛</t>
  </si>
  <si>
    <t>林万开此处为中友，而在 Folder 54/57/58 中为买主，显示其由中人转为置产者的角色；原契因只拨半号难以缴付。</t>
  </si>
  <si>
    <t>目录注'出租'，实为典契</t>
  </si>
  <si>
    <t>号数、折钱数、代笔名末字</t>
  </si>
  <si>
    <t>Seller: 楊鵬超（出租） [YANG Pengchao] -- Buyer: 林 [LIN] -- Place: 福建省侯官縣 [Fujian Sheng Houguan Xian] -- Government</t>
  </si>
  <si>
    <t>1866 to 1871</t>
  </si>
  <si>
    <t>同治陆年六月 日</t>
  </si>
  <si>
    <t>倪应寿</t>
  </si>
  <si>
    <t>刘景茂</t>
  </si>
  <si>
    <t>建阳县（坐落未填清）</t>
  </si>
  <si>
    <t>田（坐落栏字迹不清）</t>
  </si>
  <si>
    <t>用价银壹拾壹两；纳税银□</t>
  </si>
  <si>
    <t>福建布政使司契尾，布字贰千壹百贰拾伍号，右给建阳县业户刘景茂；骑缝号'建字□千玖佰'；多枚官印</t>
  </si>
  <si>
    <t>闽北建阳县契尾，与本批其他福州契区域不同。</t>
  </si>
  <si>
    <t>价银'壹拾壹两'及纳税额、坐落均存疑；骑缝号模糊</t>
  </si>
  <si>
    <t>Owner: 劉景茂 [LIU Jingmao] -- Place: 福建省建陽縣 [Fujian Sheng Jianyang Xian] -- Government</t>
  </si>
  <si>
    <t>典契＋找贴契／贴尽契（尽断契）</t>
  </si>
  <si>
    <t>同治柒年拾贰月（典）；同治拾贰年拾贰月（尽断）</t>
  </si>
  <si>
    <t>林邦端</t>
  </si>
  <si>
    <t>自己阄分原祖手置买断得黄家根面全田；知契母王氏</t>
  </si>
  <si>
    <t>程利欲、程利霖</t>
  </si>
  <si>
    <t>闽侯县</t>
  </si>
  <si>
    <t>三十五都土名和尚湾楼里垅（龙）地方</t>
  </si>
  <si>
    <t>根面全屯田壹号，计田捌分零；又买断得廖田垅地方上下塅共田壹亩叁分零；粮色立在廿伍都林可琏户下</t>
  </si>
  <si>
    <t>典价银伍拾陆两正纹广；尽断出满价钱贰仟文(?)；民国契单定价银肆拾玖元</t>
  </si>
  <si>
    <t>堂弟邦勋（中见）；族侄兴梅（中人）</t>
  </si>
  <si>
    <t>知契母王氏；胞侄巨桂（在见）；胞侄巨兰（在见）</t>
  </si>
  <si>
    <t>族侄巨槛（典契代字）；尽断契自笔</t>
  </si>
  <si>
    <t>两契均钤闽(?)县印（红契）；民国五年福建财政厅卖断契单，印花税票贰分，注册李昭、缮契骆茂官、校叶煊</t>
  </si>
  <si>
    <t>典契伍年为限，取赎每两银折铜钱捌百伍拾文；尽断后永不得言尽言赎</t>
  </si>
  <si>
    <t>①典契：同治柒年拾贰月，林邦端将根面全田典与程利欲，价银伍拾陆两，伍年为限；②尽断契：同治拾贰年拾贰月，林邦端再向程利欲、程利霖尽断，得钱贰仟文(?)；③福建财政厅卖断契单：中华民国五年十二月十五日，税字第一万一千一百九号，右给闽侯县业户程利欲、程利霖，田地壹亩叁分，价银肆拾玖元，纳税银贰元，粘贴印花税票</t>
  </si>
  <si>
    <t>一田先典后尽断、再由民国换契单确认，跨1868-1916；并缴黄有美卖断契、林崇和卖断契、林可翘典尽断契共九纸上手契。</t>
  </si>
  <si>
    <t>尽断价钱数字、田亩数存疑</t>
  </si>
  <si>
    <t>Seller: 林邦端 [LIN Bangduan] -- Buyer: 程利欲 [Cheng Liyu] and 程利霖[Cheng Lilin] -- Place: 福建省閩侯縣 [Fujian Sheng Minhou Xian] -- Government</t>
  </si>
  <si>
    <t>1868 to 1916</t>
  </si>
  <si>
    <t>卖断契（卖断皮骨山契）</t>
  </si>
  <si>
    <t>同治捌年十二月 日</t>
  </si>
  <si>
    <t>黄奶寿</t>
  </si>
  <si>
    <t>承祖遗下；因父身故、胞弟年幼，自行出卖</t>
  </si>
  <si>
    <t>任得里虞(?)墩，土名大田仔</t>
  </si>
  <si>
    <t>皮骨杉木竹山壹片；四至：上至大路、下至田、左至吴宅山分水为界、右至杨宅山分水为界</t>
  </si>
  <si>
    <t>时直契价洋银捌两正足</t>
  </si>
  <si>
    <t>朱(?)远奴（为中人）；张炳孙（说谕人）</t>
  </si>
  <si>
    <t>伯奴老（在见人）</t>
  </si>
  <si>
    <t>的笔（黄奶寿自笔）</t>
  </si>
  <si>
    <t>卖断，任从买主前去砍削畜留管业，不敢阻执</t>
  </si>
  <si>
    <t>契内批明：此山所有契据与卖主别山全契未便缴付，日后寻出不堪行用；注有'山'字二个、'契'字一个。买主程金宝亦见于 Folder 36（张华富卖茶山，1862），疑同一置产人。</t>
  </si>
  <si>
    <t>目录未列买主，契文为程金宝</t>
  </si>
  <si>
    <t>坐落'虞墩'、为中人名首字存疑</t>
  </si>
  <si>
    <t>Seller: 黃奶壽 [HUANG Naishou] -- Personal</t>
  </si>
  <si>
    <t>卖契（直根批，卖田根）</t>
  </si>
  <si>
    <t>同治八年十二月 日</t>
  </si>
  <si>
    <t>苏辉煌(?)</t>
  </si>
  <si>
    <t>承父手置民田；自称根主苏作标之'宗弟'；知根胞弟辉烺，在见出嗣弟辉灼</t>
  </si>
  <si>
    <t>苏作标（根主）</t>
  </si>
  <si>
    <t>屏南县</t>
  </si>
  <si>
    <t>本处土名俗叫乌石后半岭及四垅</t>
  </si>
  <si>
    <t>民田三号，共该租叁石，官正折实田共贰亩四分；但此田大祖前年间出典在根主苏作标处，今将田根退还根主</t>
  </si>
  <si>
    <t>时值根价钱肆拾壹千陆百文正</t>
  </si>
  <si>
    <t>宗弟士治</t>
  </si>
  <si>
    <t>胞弟辉烺（知根）；出嗣弟辉灼（在见）</t>
  </si>
  <si>
    <t>契面钤朱红方印两枚（疑为县印，红契）</t>
  </si>
  <si>
    <t>退根归根主，听其子孙前去召佃耕作管业</t>
  </si>
  <si>
    <t>第二页为同一契纸背面／反印：墨色淡且反向，另有后人批注'此契作标……典契加价……花边……计□元'（字迹潦草）</t>
  </si>
  <si>
    <t>直根批'是将田根直接退卖给原根主，属闽东特有的田根/田面分离文书；同宗之间交易。</t>
  </si>
  <si>
    <t>目录卖主作'?辉煌'，契只写'宗弟辉煌'，姓氏按宗弟关系推为苏</t>
  </si>
  <si>
    <t>第二页反印文字基本无法辨读；代笔未见</t>
  </si>
  <si>
    <t>Seller: ?輝煌 [? Huihuang] -- Buyer: 蘇坐標 [SU Zuobiao] -- Place: 福建省屏南縣 [Fujian Sheng Pingnan Xian] -- Government</t>
  </si>
  <si>
    <t>卖断契（卖断山契）＋当山契＋契尾</t>
  </si>
  <si>
    <t>黄象智（仝叔景元、仝弟象炬）</t>
  </si>
  <si>
    <t>叔侄兄弟同立，祖手置产业</t>
  </si>
  <si>
    <t>刘贞文兄弟</t>
  </si>
  <si>
    <t>坐址浙山村地方，土名俗叫小溪南山垅大岗</t>
  </si>
  <si>
    <t>山场壹所；四至：上至岭顶(?)、下至田、左至何家山、右至利明山</t>
  </si>
  <si>
    <t>时值山价钱肆仟文正，外加钱五百文</t>
  </si>
  <si>
    <t>王清香（钤'王清香记'戳）</t>
  </si>
  <si>
    <t>堂叔景运（在见）；仝弟象坤；仝叔景榕；仝弟象蜂</t>
  </si>
  <si>
    <t>执笔叔景元</t>
  </si>
  <si>
    <t>卖断契钤朱红官印（红契）；当山契无官印；契尾为布政司官颁，古田县印</t>
  </si>
  <si>
    <t>卖断，永远管业，不敢异言；当山契约次年本利送还，逾期由当主管业</t>
  </si>
  <si>
    <t>①卖断山契：同治八年十二月，黄象智仝叔景元、仝弟象炬将祖手置山场卖断与刘贞文兄弟，价钱肆仟文，外加钱五百文；②当山契：光绪拾捌年十二月，刘贞文将该山场（土名小溪大岗）当与本乡陆元盛，借钱肆仟文，利息加贰伍分，限次年十二月本利送还；③契尾：光绪贰拾伍年拾月，古田县业户阮承苑，买刘复(?)西龄、阮大厚等民田三号（本处土名山垅仔、大路下段、垄里境等段，共田叁亩贰分），价银壹百叁拾壹两零陆分，纳税银叁两玖钱叁分壹厘捌毫</t>
  </si>
  <si>
    <t>同一山场先卖断给刘贞文，23年后刘又将其出当；中人王清香使用'王清香记'木戳。附契尾的业户阮承苑与前两契人物不对应，属另一宗田产交易。</t>
  </si>
  <si>
    <t>目录列阮承苑为业主，实为所附契尾业户；与两契山场非同一标的</t>
  </si>
  <si>
    <t>四至'上至岭顶'、契尾卖主名'刘复西龄'存疑</t>
  </si>
  <si>
    <t>Owner: 阮承苑 [RUAN Chengyuan] --Seller: 黃象智 [HUANG Xiangzhi] and 劉貞文[LIU Zhenwen] -- Buyer: 劉貞文 [ LIU Zhenwen] and 陸元盛 [LU Yuansheng]-- Place: 福建省古田縣 [Fujian Sheng Gutian Xian] -- Government</t>
  </si>
  <si>
    <t>1869 to 1899</t>
  </si>
  <si>
    <t>同治捌年拾贰月吉日</t>
  </si>
  <si>
    <t>承父遗阄分</t>
  </si>
  <si>
    <t>王元霭</t>
  </si>
  <si>
    <t>闽邑文山铺秋龙巷地方</t>
  </si>
  <si>
    <t>坐西向东厝屋壹直五柱叁堵，计直深叁丈捌尺，横阔壹丈柒尺；后右边毗连披屋壹堵；共计伍堵；四至：前至王家店、后至王家屋、左至韩家屋、右至李家屋，上至椽桷砖瓦、下至磉石地基</t>
  </si>
  <si>
    <t>屋价足色库砝银叁拾两正</t>
  </si>
  <si>
    <t>陈友梅（中友）</t>
  </si>
  <si>
    <t>堂叔长发（在见）；堂弟春荣（在见）</t>
  </si>
  <si>
    <t>李祖谦</t>
  </si>
  <si>
    <t>清代县印（红契）；民国二年卖断契单；民国十五年验契戳；民国十七年验税契证（印花税票）；福州市政府验讫戳</t>
  </si>
  <si>
    <t>卖断，不得言赎言凑言尽</t>
  </si>
  <si>
    <t>①卖断契：同治捌年拾贰月，林春源卖断屋与王元霭，价银叁拾两；契面另贴民国印花税票两枚，并盖福州市政府'验讫'紫色戳（编号17438/18438，民国卅七、卅八年及1956年字样）；②卖断契单：福建国税厅筹备处颁，中华民国贰年拾壹月，买林春源厝屋五柱壹座，坐落闽侯县文山铺，原价银叁拾两，证陈友梅，纸价壹元；另有民国十五年八月财政厅闽侯验契朱戳；③验税契证：福建财政厅颁，中华民国十七年□月十五日，新字第□号，右给业户王元霭，产价肆拾肆(?)元，纸价壹元伍角，注册费壹角，附加教育费贰角</t>
  </si>
  <si>
    <t>与 Folder 41（同治五年林春源卖破屋及残地与王家）为同一卖主、同一买主、同一中友陈友梅和在见人长发、春荣，地点同为秋龙巷，可见王家三年间逐步收购邻屋。注明此屋出入俱由王家店内通行。</t>
  </si>
  <si>
    <t>民国十七年验税契证产价及号数；市政府戳记年份</t>
  </si>
  <si>
    <t>Owner: 王元靄 [WANG Yuanai] --Seller: 林春源 [LIN Chunyuan] -- Buyer: 王元靄 [WANG Yuanai] -- Place: 福建省閩侯縣 [Fujian Sheng Minhou Xian] -- Government</t>
  </si>
  <si>
    <t>1869 to 1928</t>
  </si>
  <si>
    <t>同治玖年五月吉日</t>
  </si>
  <si>
    <t>张昌畅</t>
  </si>
  <si>
    <t>因官事无钱使用，将父手阄分己份民田出典</t>
  </si>
  <si>
    <t>邦昔（张邦昔?）</t>
  </si>
  <si>
    <t>本处草坂</t>
  </si>
  <si>
    <t>民田壹号，坐址本处草坂，田该粮捌分正；四至：上至山、下至溪、左至大成田、右至大成田</t>
  </si>
  <si>
    <t>出价银贰拾伍两正，契立银收足讫，无挂分厘</t>
  </si>
  <si>
    <t>胞孙张大都（为中）</t>
  </si>
  <si>
    <t>契面钤朱红菱形官印多枚（红契）；附古田县契尾（布政司印）</t>
  </si>
  <si>
    <t>典期内邦昔管业收租并津助完纳钱粮；年限随年备价赎回，无力者任凭管业收租</t>
  </si>
  <si>
    <t>①典契：同治玖年五月，张昌畅将父手阄分民田典与邦昔，价银贰拾伍两；②契尾：光绪叁拾叁年拾月，布字壹万玖百玖拾贰号，右给古田县业户张兰芬，载张兰芬于光绪叁拾□年买断林智(?)等民田，价银伍拾捌两，纳税银壹两柒钱肆分</t>
  </si>
  <si>
    <t>出典原因明写'因官事无钱使用'，较少见；中人以'胞孙'身份出现，可见出典人年长。所附光绪契尾业户张兰芬与典契双方不同，似为同族后续交易。</t>
  </si>
  <si>
    <t>目录列张兰芬为业主，实为所附契尾业户；地点兼列屏南、古田，契尾为古田县</t>
  </si>
  <si>
    <t>坐址'草坂'县属未明（按目录作屏南）；契尾卖主名不清</t>
  </si>
  <si>
    <t>Owner: 張蘭芬 [ZHANG Lanfen] --Seller: 張昌暢 [ZHANG Changchang] -- Buyer: （張）邦昔 [(ZHANG) Bangxi] -- Place: 福建省屏南縣和古田縣 [Fujian Sheng Pingnan Xian and Gutian Xian] -- Government</t>
  </si>
  <si>
    <t>1870 to 1907</t>
  </si>
  <si>
    <t>卖断契（卖断根面全田契）</t>
  </si>
  <si>
    <t>同治拾年拾壹月吉日</t>
  </si>
  <si>
    <t>方元慈</t>
  </si>
  <si>
    <t>承父阄书份下；卖与胞兄；在见母亲许氏、嫂赵氏</t>
  </si>
  <si>
    <t>方潮涛（兄）</t>
  </si>
  <si>
    <t>侯邑三十九都地方，土名圳仔垅</t>
  </si>
  <si>
    <t>根面全田叁坵(?)，大小叁坵，官丈贰亩贰分零；粮挂三十九都壹甲方道户下、又挂三十八都四图八甲方福昌户下、又挂三十八都壹图六甲方永平户下</t>
  </si>
  <si>
    <t>田价钱壹百壹拾伍千文正</t>
  </si>
  <si>
    <t>族叔浓官</t>
  </si>
  <si>
    <t>母亲许氏（在见）；嫂赵氏（在见）</t>
  </si>
  <si>
    <t>族侄亨霖</t>
  </si>
  <si>
    <t>契面钤闽侯县验契朱印，贴民国印花税票；民国二年卖断契单；1930年代闽侯县已税契验契证（县府印、区长章）</t>
  </si>
  <si>
    <t>卖断，永断葛藤，向后不得别生枝节</t>
  </si>
  <si>
    <t>①卖断根面全田契：同治拾年拾壹月，方元慈将承父阄书份下根面全田卖断与兄方潮涛，价钱壹百壹拾伍千文；契面贴民国印花税票；②卖断契单：福建国税厅筹备处颁，中华民国贰年拾壹月，验字第四万二千四百六十八(?)号，右给闽侯县业户方潮涛，买方元慈田地贰亩贰分零，坐落闽侯县三十九都圳仔垅，原价银壹百壹拾伍元，证方浓官，纸价壹元贰角，钤'东水汤井验契北督催处'戳；③闽侯县已税契验契证：福建省政府财政厅颁，业主潮涛(?)，住址莲峰(?)，田，坐落圳仔垅，面积二亩二分○，产价一百一十五千文，出卖主元慈，中证人浓官，立契同治十年十一月吉日，中华民国廿四(?)年六月，第49740号</t>
  </si>
  <si>
    <t>兄弟间卖断，粮额分挂于三个不同的方姓户名；原契因洪水浸湿朽烂无可缴付。民国契单把'壹百壹拾伍千文'直接写作'壹百壹拾伍元'。</t>
  </si>
  <si>
    <t>目录作1871-1913，但另有1930年代（民国廿四年?）验契证</t>
  </si>
  <si>
    <t>验契证年份与业主住址为铅笔草书；契单号数存疑</t>
  </si>
  <si>
    <t>Seller: 方元慈 [FANG Yuanci] -- Buyer: 方潮濤 [FANG Chaotao] -- Place: 福建省閩侯縣 [Fujian Sheng Minhou Xian] -- Government</t>
  </si>
  <si>
    <t>1871 to 1913</t>
  </si>
  <si>
    <t>卖断契（卖断皮骨杂木茶山契）</t>
  </si>
  <si>
    <t>同治玖年四月 日</t>
  </si>
  <si>
    <t>程姑仔</t>
  </si>
  <si>
    <t>承祖遗下；因父身亡故、自身年幼，缺银使用；知契妈郑氏</t>
  </si>
  <si>
    <t>血叔翁金宝（程金宝）</t>
  </si>
  <si>
    <t>由里上溪后土名畲乐重；又一片坐落任里虞墩土名石岭后</t>
  </si>
  <si>
    <t>杂木杉松茶山贰片：一片上至岗顶、下至水堪、左至张宅山合水为界、右至连宅山分水为界；又一片上至岗顶、下至田、左至张宅山合水为界、右至张宅山分水为界</t>
  </si>
  <si>
    <t>时直断契价洋银拾贰两正足</t>
  </si>
  <si>
    <t>张元寿（为中人）；张贵孙（说谕人）</t>
  </si>
  <si>
    <t>朱仕明（在见人）；知契妈郑氏</t>
  </si>
  <si>
    <t>邦如(?)孙</t>
  </si>
  <si>
    <t>卖断，任从买主前去栽插畜留管业，不敢阻执</t>
  </si>
  <si>
    <t>卖与血叔程金宝，即 Folder 36、45 的同一买主，金宝在任里虞墩一带持续收购山林；同为'父身亡故、年幼'背景（与 Folder 45 黄奶寿相似）。契后有光绪二十七年批：石岭后山场界至以黄竹檬为界，'后张程两姓不得混争'，说明后来发生山界纠纷。</t>
  </si>
  <si>
    <t>目录买主作'金宝'，契称'血叔翁金宝'，姓程</t>
  </si>
  <si>
    <t>代笔名、畲乐重地名存疑</t>
  </si>
  <si>
    <t>Seller: 程姑仔 [CHENG Guzai] -- Buyer: 金寶 [JIN Bao] -- Personal</t>
  </si>
  <si>
    <t>同治拾壹年十二月 日</t>
  </si>
  <si>
    <t>陈裔煌（仝弟裔辉）</t>
  </si>
  <si>
    <t>承祖手有民田，兄弟同立</t>
  </si>
  <si>
    <t>郑璟（本墩郑处）</t>
  </si>
  <si>
    <t>本处地方土名俗叫棋盘座</t>
  </si>
  <si>
    <t>民田壹号，该田贰亩伍分正，历年收租管业</t>
  </si>
  <si>
    <t>时值契价银肆拾柒两伍钱，纹广正</t>
  </si>
  <si>
    <t>吴廷接</t>
  </si>
  <si>
    <t>堂兄裔森（在见）；仝弟裔辉</t>
  </si>
  <si>
    <t>甘兴业</t>
  </si>
  <si>
    <t>契面钤朱红方印及菱形印（红契）</t>
  </si>
  <si>
    <t>约伍年冬满足外任煌备办价银赎回，每两折钱捌百肆拾文；如无力任璟收租管业；钱粮推入郑家户内完纳</t>
  </si>
  <si>
    <t>并缴原尽断契叁纸，共肆纸；批注'中用酒席俱与再照'。</t>
  </si>
  <si>
    <t>目录作卖契（Seller/Buyer），实为典契</t>
  </si>
  <si>
    <t>赎回折钱数'捌百肆拾文'略存疑</t>
  </si>
  <si>
    <t>Seller: 陳裔煌 [CHEN Yihuang] -- Buyer: 鄭璟 [ZHENG Jing] -- Place: 福建省古田縣 [Fujian Sheng Gutian Xian] -- Government</t>
  </si>
  <si>
    <t>同治拾贰年玖月 日</t>
  </si>
  <si>
    <t>吴开成</t>
  </si>
  <si>
    <t>陈（名不清）</t>
  </si>
  <si>
    <t>闽县（坐落残缺）</t>
  </si>
  <si>
    <t>买吴开成屋（坐落残缺）</t>
  </si>
  <si>
    <t>用价银陆拾捌两(?)；纳税银□两□</t>
  </si>
  <si>
    <t>布政司契尾，布字叁万肆百玖拾贰号，右给闽县业户陈□；骑缝号'闽字叁万肆千□□'；闽县官印多枚</t>
  </si>
  <si>
    <t>契尾上半部严重虫蛀火烧残缺。与 Folder 39A（同治三年吴开扬卖屋给陈世旺）同为吴开某卖与陈姓、闽县，疑为同一家族先后出售房产。</t>
  </si>
  <si>
    <t>价银、税额及业户名均因残损难辨</t>
  </si>
  <si>
    <t>Seller: 吳開成 [WU Kaicheng] -- Buyer: 陳 [CHEN] -- Place: 福建省閩縣 [Fujian Sheng Min Xian] -- Government</t>
  </si>
  <si>
    <t>卖断契（卖断根面全民田契）</t>
  </si>
  <si>
    <t>光绪</t>
  </si>
  <si>
    <t>光绪元年拾贰月 日</t>
  </si>
  <si>
    <t>林应香</t>
  </si>
  <si>
    <t>有手置根面全民田数号</t>
  </si>
  <si>
    <t>族兄林万开</t>
  </si>
  <si>
    <t>侯邑西关外草市都马坑地方，土名马路下、井嘴等处</t>
  </si>
  <si>
    <t>根面全民田：册载地字四区叁百贰拾捌号官丈陆分贰厘；又叁百叁拾号官丈叁分；大小贰坵田头井仔壹口、园仔壹块；又土名井嘴，册载地字四区叁百肆拾柒号官丈壹亩叁分；以上三号共计官丈贰亩叁分贰厘伍毛捌忽；粮色立在草市都壹甲□□户下</t>
  </si>
  <si>
    <t>田价钱壹百零捌千文</t>
  </si>
  <si>
    <t>陈春雷(?)</t>
  </si>
  <si>
    <t>叔必祥（在见）</t>
  </si>
  <si>
    <t>吴祥麟</t>
  </si>
  <si>
    <t>契面钤朱红大方印两枚（县印，红契）；另有'西湖区'及陈姓（陈泉龙?）后期戳记、铅笔编号</t>
  </si>
  <si>
    <t>卖断，永断葛藤，不敢别生枝节</t>
  </si>
  <si>
    <t>地号（地字四区328、330、347号）、亩数（贰亩叁分贰厘伍毛捌忽）与 Folder 40 僧德诠卖出的寺田面完全一致，说明1865年林姓买得寺田面后，1875年由林应香卖断与族兄林万开；并缴杨能燮原典契、陈朝科原典、井嘴根契、尽断契等共七纸。</t>
  </si>
  <si>
    <t>目录作1875，契为光绪元年十二月（公历约1876年初）；目录地点作闽侯县，契文为侯邑</t>
  </si>
  <si>
    <t>草书较重，中人名、粮户名、上手契人名存疑</t>
  </si>
  <si>
    <t>Seller: 林應香 [LIN Yingxiang] -- Buyer: 林萬開 [LIN Wankai] -- Place: 福建省閩侯縣 [Fujian Sheng Minhou Xian] -- Government</t>
  </si>
  <si>
    <t>卖断契（杜卖田皮骨契字）</t>
  </si>
  <si>
    <t>光绪二年丙子十二月(?)廿七日</t>
  </si>
  <si>
    <t>禄中</t>
  </si>
  <si>
    <t>承父分阄下禾田；因少银使用；在堂母氏苏</t>
  </si>
  <si>
    <t>本家吉昌兄</t>
  </si>
  <si>
    <t>永安县</t>
  </si>
  <si>
    <t>土名下屋仔虎形地堂下塘仔</t>
  </si>
  <si>
    <t>禾田壹坵，田皮骨一并杜卖；载本邑民米陆合</t>
  </si>
  <si>
    <t>尽骨价银壹拾柒员正（并带饭食花押酒席一应在内）</t>
  </si>
  <si>
    <t>在堂母氏苏</t>
  </si>
  <si>
    <t>海中（在场见代笔人）</t>
  </si>
  <si>
    <t>杜卖，价尽，永无收赎</t>
  </si>
  <si>
    <t>闽西北用语'田皮骨'、'员'计银元，与福州契式明显不同；声明'不是负债准折'。纸张虫蛀严重。</t>
  </si>
  <si>
    <t>目录作1876，契为光绪二年十二月（公历约1877年初）；契中未写县名，永安县据目录</t>
  </si>
  <si>
    <t>月份'十二月'及县属存疑</t>
  </si>
  <si>
    <t>Seller: 祿中 [Luzhong] -- Place: 福建省永安縣 [Fujian Sheng Yongan Xian] -- Government</t>
  </si>
  <si>
    <t>卖断契（尽根断卖契）</t>
  </si>
  <si>
    <t>光绪己卯伍年贰月 日</t>
  </si>
  <si>
    <t>康宗瑞</t>
  </si>
  <si>
    <t>有自己手置民园</t>
  </si>
  <si>
    <t>陈连孙</t>
  </si>
  <si>
    <t>坐在庵后，落侄能干黄□边；南大云字号</t>
  </si>
  <si>
    <t>园</t>
  </si>
  <si>
    <t>民园壹段，计额柒分正，南大云字号载在官圻（东西南北四至遍知）；粮米图冬户下，除割过收入陈连孙户下</t>
  </si>
  <si>
    <t>实价九五成色银念拾壹两广戥正</t>
  </si>
  <si>
    <t>庄世宝（中见人）</t>
  </si>
  <si>
    <t>庄光耀</t>
  </si>
  <si>
    <t>无官印（白契）；左上有墨书圆戳'合契(?)'</t>
  </si>
  <si>
    <t>尽根断卖，后贵亦无敢找敢赎</t>
  </si>
  <si>
    <t>园地以'字号'登记并写明粮米过割，可能出自闽南（庄姓、'念拾'用法）；文字为方言化草书。</t>
  </si>
  <si>
    <t>坐落人名、字号、粮户名不清</t>
  </si>
  <si>
    <t>Seller: 康宗瑞 [KANG Zongrui] -- Buyer: 陳連孫 [CHEN Liansun] -- Personal</t>
  </si>
  <si>
    <t>卖断契（卖断田根契）</t>
  </si>
  <si>
    <t>光绪柒年拾贰月 日</t>
  </si>
  <si>
    <t>林春发</t>
  </si>
  <si>
    <t>有手置民田根</t>
  </si>
  <si>
    <t>族叔林万开</t>
  </si>
  <si>
    <t>侯邑西关外白龙坛路地方，土名鲫鱼坵、牛头长坵等</t>
  </si>
  <si>
    <t>民田根数号，大小三坵、池壹口，共四坵，计官丈贰亩五分零；年纳面主王家早晚租谷叁百五十筋平秤</t>
  </si>
  <si>
    <t>价钱壹百壹拾千文</t>
  </si>
  <si>
    <t>杨宗盛</t>
  </si>
  <si>
    <t>弟春辉（在见）</t>
  </si>
  <si>
    <t>陈□华(?)</t>
  </si>
  <si>
    <t>契面钤朱红县印（红契）及菱形印；另有后期'王三?'墨书大字及红色戳记、编号</t>
  </si>
  <si>
    <t>地块（白龙坛路鲫鱼坵，2.5亩，纳面主王家租谷350斤）与 Folder 37（同治元年杨兆通典与林家）同一田根；并缴杨能锋尽断契三纸，可见杨姓→林春发→族叔林万开的流转。</t>
  </si>
  <si>
    <t>目录作1881，契为光绪七年十二月（公历约1882年初）</t>
  </si>
  <si>
    <t>代笔人名不清</t>
  </si>
  <si>
    <t>Seller: 林春發 [LIN Chunfa] -- Buyer: 林萬開 [LIN Wankai] -- Place: 福建省閩侯縣 [Fujian Sheng Minhou Xian] -- Government</t>
  </si>
  <si>
    <t>典契（拨典田面契）</t>
  </si>
  <si>
    <t>光绪拾年叁月吉日</t>
  </si>
  <si>
    <t>林秋溥</t>
  </si>
  <si>
    <t>原自己典得何德兴民田面数号，今拨出转典</t>
  </si>
  <si>
    <t>堂兄林万开</t>
  </si>
  <si>
    <t>侯邑西关外三十八都马坑白龙地方，土名白龙东洋大塍边、水流坵、圆坵等处</t>
  </si>
  <si>
    <t>拨出伍号：上中下则田计官丈肆亩捌分零，年载租谷捌百陆拾筋；粮色立在本都二图六甲何德兴户下；计开日字壹区129号大塍边、302号白龙上田、379号水流坵、382号白龙上田、日字十区411号圆坵等，佃户林万齐、李捷荣等</t>
  </si>
  <si>
    <t>田面价镜银肆拾肆两正，大锭库码</t>
  </si>
  <si>
    <t>王有才（中友）</t>
  </si>
  <si>
    <t>弟万拱（在见）；弟万叙(?)</t>
  </si>
  <si>
    <t>侄荣阳</t>
  </si>
  <si>
    <t>契面钤方形官印（县印，红契）；另有'明并卖与洋人如……'红色长方戳（字迹部分可辨）</t>
  </si>
  <si>
    <t>照凭契面银两取赎，买主亦不得执留；倘原主取赎不拘年限</t>
  </si>
  <si>
    <t>契面盖有禁止将田产'卖与洋人'一类的红色戳记，值得核对全文；何家原契与别业相连未便缴付。林万开是本批多件的买主/中人（Folder 42、54、57、58）。契末大书'大熟'。</t>
  </si>
  <si>
    <t>目录作卖契（Seller），实为拨典契</t>
  </si>
  <si>
    <t>红色戳记全文、在见人第二名不清</t>
  </si>
  <si>
    <t>Seller: 林秋溥 [LIN Qiupu] -- Buyer: 林萬開 [LIN Wankai] -- Place: 福建省侯官縣 [Fujian Sheng Houguan Xian] -- Government</t>
  </si>
  <si>
    <t>光绪拾年拾月吉日</t>
  </si>
  <si>
    <t>林万利</t>
  </si>
  <si>
    <t>原承父在日阄分己份下田面；所典为其应分壹半</t>
  </si>
  <si>
    <t>官方（契文作'典与八□官庆（?）为业'，'官'字抬头）</t>
  </si>
  <si>
    <t>民田面壹号，册载地字弍百号，中则田，计官丈叁亩陆厘壹毫壹丝，年共面租谷捌百伍拾筋；万利应分壹半，该田壹亩伍分叁厘伍丝伍忽，面租谷肆百弍拾伍筋；粮色立在草市都柒甲林志户下，年应完粮银壹钱弍分弍厘柒毫、米壹升柒合伍勺</t>
  </si>
  <si>
    <t>典出田面价银壹拾两正（纹广）</t>
  </si>
  <si>
    <t>堂兄万顺；堂侄可良；陈金槐</t>
  </si>
  <si>
    <t>胞叔昌意（在见）；堂兄万斌（在见）</t>
  </si>
  <si>
    <t>林万利自笔</t>
  </si>
  <si>
    <t>契面及骑缝钤红色方形官印（印文似'侯官县印'，?）</t>
  </si>
  <si>
    <t>典期三年为限，限满之日备价照契面银两（每两银折铜钱票捌百伍拾文）取赎，赎期定冬至；未赎仍照旧管业</t>
  </si>
  <si>
    <t>契内说明并缴杨鹏起换缴典契壹纸、蔡世端尽契壹纸、税司单壹纸共成叁纸；上手原契并断契因半号别业相连不便缴付。左上大字'大吉（?）'。与同批 31735066266275（光绪十二年侯官县契尾，买林万利田，价银壹拾两）为同一交易的税契。</t>
  </si>
  <si>
    <t>目录作卖契（Seller/Buyer），实为典田面契；目录日期1884相符</t>
  </si>
  <si>
    <t>承典方名称'八□官庆'字形不确定；'大吉'字形；官印印文模糊</t>
  </si>
  <si>
    <t>Seller: 林萬利 [LIN Wanli] -- Buyer: 官方政府 [Government] -- Place: 福建省侯官縣 [Fujian Sheng Houguan Xian] -- Government</t>
  </si>
  <si>
    <t>光绪拾弍年捌月</t>
  </si>
  <si>
    <t>契尾未载卖主姓名</t>
  </si>
  <si>
    <t>高恭地（业户）</t>
  </si>
  <si>
    <t>福清县</t>
  </si>
  <si>
    <t>福清县高山市街</t>
  </si>
  <si>
    <t>高山市街至莲店壹间</t>
  </si>
  <si>
    <t>用价银陆拾叁两捌钱玖分；税银壹两玖钱壹分陆厘柒毫</t>
  </si>
  <si>
    <t>福建布政使司契尾，布字玖千叁百肆拾肆号；钤红色官印多方（福清县印?、布政使司印?）</t>
  </si>
  <si>
    <t>税银为价银的3%；契尾为刻印套印文书，附乾隆年间部议章程，边框龙纹。</t>
  </si>
  <si>
    <t>至莲店'字形存疑；左边缘残缺，骑缝半字不可读</t>
  </si>
  <si>
    <t>Owner: 高恭地[GAO Gongdi] -- Place: 福建省福清縣[Fujian Sheng Fuqing Xian] -- Government</t>
  </si>
  <si>
    <t>光绪拾弍年叁月</t>
  </si>
  <si>
    <t>契尾作'业户□买林万利田'，业户名空白</t>
  </si>
  <si>
    <t>侯官县（坐落空白）</t>
  </si>
  <si>
    <t>林万利田（坐落、面积未填）</t>
  </si>
  <si>
    <t>用价银壹拾两；纳税银叁钱</t>
  </si>
  <si>
    <t>福建布政使司契尾，侯字玖千陆百弍拾肆号；钤侯官县印（红色方印多方及骑缝印）</t>
  </si>
  <si>
    <t>价银壹拾两与同批 31735064607769 林万利典田面契（光绪十年，典价银壹拾两）相符，应为该典契的税契契尾；税率3%。</t>
  </si>
  <si>
    <t>目录作 Owner 林万利，实际林万利为出业人，业户（买主）姓名空白</t>
  </si>
  <si>
    <t>业户及坐落处似空白未填</t>
  </si>
  <si>
    <t>Owner: 林萬利 [LIN Wanli] -- Place: 福建省侯官縣 [Fujian Sheng Houguan Xian] -- Government</t>
  </si>
  <si>
    <t>光绪拾弍年拾壹月吉日</t>
  </si>
  <si>
    <t>王师礼</t>
  </si>
  <si>
    <t>承父阄分份下；知契母陈氏，胞兄师义、胞弟师智在见</t>
  </si>
  <si>
    <t>许大华</t>
  </si>
  <si>
    <t>闽邑嘉崇里下阵洋地方，土名倒楔（?）坵</t>
  </si>
  <si>
    <t>田根＋田面</t>
  </si>
  <si>
    <t>民田根面全弍号，册载青字第弍区第十九号，中则田，计官丈弍亩捌分伍厘零；四至：东至浦、西至林家田、南至吴家田、北至浦；粮色挂在嘉崇里叁啚拾甲王士全户下</t>
  </si>
  <si>
    <t>卖断价银陆拾伍两正（纹广银）</t>
  </si>
  <si>
    <t>林天送</t>
  </si>
  <si>
    <t>陈氏（知契母）；胞兄师义（在见）；胞弟师智（在见）</t>
  </si>
  <si>
    <t>黄杰（?）</t>
  </si>
  <si>
    <t>原契为白契，民国二年经福建国税厅筹备处验契，契上钤筹备处红印及'验'字戳；附断卖契单（验字第69531号）</t>
  </si>
  <si>
    <t>卖断，日後不得言凑言赎</t>
  </si>
  <si>
    <t>①光绪拾弍年拾壹月王师礼卖断田根面契（白契，後经验印）；②中华民国贰年拾壹月叁拾日福建国税厅筹备处'断卖契单'，验字第六万九千五百三一号，给业户许大华，原价银陆拾伍两、申银玖拾伍元，原契未税，依限呈验，收纸价壹元</t>
  </si>
  <si>
    <t>根面全业一并卖断，买主可自管或召佃。契末小字注明上手老契因故不得缴付，并注此田水圳由本田东边出入。契单中证人仍记林天送，地名改属闽侯县。</t>
  </si>
  <si>
    <t>代笔名'黄杰'、土名'倒楔坵'、契末小字附注数字存疑；申银数'玖拾伍元'存疑</t>
  </si>
  <si>
    <t>Seller: 王師禮 [WANG Shili] -- Buyer: 許大華 [XU Dahua] -- Place: 福建省閩侯縣 [Fujian Sheng Minhou Xian] -- Government</t>
  </si>
  <si>
    <t>1886 to 1913</t>
  </si>
  <si>
    <t>光绪拾叁年叁月拾捌日</t>
  </si>
  <si>
    <t>王锦发</t>
  </si>
  <si>
    <t>原祖遗阄分份下；知契母林氏，胞弟森发</t>
  </si>
  <si>
    <t>王锦枝（堂兄）</t>
  </si>
  <si>
    <t>闽邑横山铺秋龙社地方</t>
  </si>
  <si>
    <t>肆柱店面右半爿，内门窗户扇、前搨板地棚一切俱全；前至官街，後至王清官屋，左边锦枝半爿店，右至何家店，上至椽桁砖瓦，下至廊石磉石地基</t>
  </si>
  <si>
    <t>价锭银柒拾伍两正，库砝大锭白足色足兑</t>
  </si>
  <si>
    <t>林细弟</t>
  </si>
  <si>
    <t>林氏（知契母）；胞弟森发；堂兄俊发（在见）；堂兄永发（在见）</t>
  </si>
  <si>
    <t>李逢铨</t>
  </si>
  <si>
    <t>卖断，永断葛藤，永不敢言赎言凑言尽</t>
  </si>
  <si>
    <t>堂兄弟之间买卖祖遗店屋另一半，买主已拥有左半爿；契内并缴林春源典断契司单。左侧大书'为永保千秋'。地点秋龙与规范示例中林春源秋龙巷相近，林春源亦见於本契。</t>
  </si>
  <si>
    <t>地陆'等个别字存疑</t>
  </si>
  <si>
    <t>Seller: 王錦發 [WANG Jinfa] -- Buyer: 王錦枝 [WANG Jinzhi] -- Place: 福建省閩縣 [Fujian Sheng Min Xian ] -- Personal</t>
  </si>
  <si>
    <t>光绪拾叁年拾壹月吉日</t>
  </si>
  <si>
    <t>陈必清</t>
  </si>
  <si>
    <t>原承阄分份下本座墙後空地自己起盖墙屋；全室中梁氏、长男锺祥、侄男应祥同署</t>
  </si>
  <si>
    <t>陈必泉</t>
  </si>
  <si>
    <t>闽邑嘉崇里横街铺惠泽境茶叶街地方</t>
  </si>
  <si>
    <t>墙屋全座，伍柱肆榀排，四面风火墙，直深伍丈伍尺，并围墙、天井、水井、大厅、後厅、门窗户扇等一切；四至详载</t>
  </si>
  <si>
    <t>典出墙屋价镜（?）银弍百两正，库砝大锭白足色足兑</t>
  </si>
  <si>
    <t>刘志潮；吕光达</t>
  </si>
  <si>
    <t>梁氏（全室中）；长男锺祥；侄男应祥；何鸿壁（?）（在见）</t>
  </si>
  <si>
    <t>方忠恭（?）</t>
  </si>
  <si>
    <t>契面钤红色菱形大印；右上有'验'字戳及民国时期批记</t>
  </si>
  <si>
    <t>伍年为限，限满备契面银两照原价赎回；另加修理银肆两；如逾限未赎可展限三年以酬土木石之费</t>
  </si>
  <si>
    <t>契内并缴吴开杨典契司单弍纸、吴开成断契司单弍纸共成伍纸。左侧小字批注：民国陆年拾月间将前进库屋全座凑卖断与吴家，又批残契遗失等语。左侧大书'财丁贵大发'；另有红色长方戳'该业已经登记……上手契'。</t>
  </si>
  <si>
    <t>代笔、在见人名及左侧小字批注多字存疑</t>
  </si>
  <si>
    <t>Seller: 陳必清 [CHEN Biqing] -- Buyer: 陳必泉 [CHEN Biquan] -- Place: 福建省閩縣 [Fujian Sheng Min Xian] -- Government</t>
  </si>
  <si>
    <t>光绪拾叁年冬月／光绪拾叁年五月</t>
  </si>
  <si>
    <t>有澧（叔）</t>
  </si>
  <si>
    <t>立收字人，收侄所纳苗米</t>
  </si>
  <si>
    <t>道奎（侄）</t>
  </si>
  <si>
    <t>其他（苗米收据）</t>
  </si>
  <si>
    <t>苗米壹斗正</t>
  </si>
  <si>
    <t>苗米壹斗正（每纸）</t>
  </si>
  <si>
    <t>①光绪拾叁年冬月收字：叔有澧收侄道奎纳本年份苗米壹斗；②光绪拾叁年五月收字：叔有澧收侄道奎纳拾四年份苗米壹斗</t>
  </si>
  <si>
    <t>两张亲属间的苗米收据，简短草书；左侧另有小字批记'收来本年份收了'之类。</t>
  </si>
  <si>
    <t>道奎'、'有澧'、'处理'等字草书存疑；左侧小字未能确认</t>
  </si>
  <si>
    <t>Place: unknown -- Personal</t>
  </si>
  <si>
    <t>光绪拾肆年十一月日</t>
  </si>
  <si>
    <t>陆元规</t>
  </si>
  <si>
    <t>父手遗置建屯田；胞叔国华、国器在见</t>
  </si>
  <si>
    <t>陆元赐（堂兄）</t>
  </si>
  <si>
    <t>嵩（?）州溪里地方，土名俗叫万（?）壠</t>
  </si>
  <si>
    <t>建屯田壹号计叁亩正，内抽出弍亩出典；粮在三十都陆元规户，至大造之年推入堂兄赐户内完纳</t>
  </si>
  <si>
    <t>典契价银叁拾陆两纹广正（赎时每两折钱捌百叁拾文算）；外中用笔资银共伍钱</t>
  </si>
  <si>
    <t>胡振仁</t>
  </si>
  <si>
    <t>胞叔国华（在见）；胞叔国器（知见）</t>
  </si>
  <si>
    <t>刘利辉</t>
  </si>
  <si>
    <t>原契白契；民国二年验契，粘连典按契单，钤福建国税厅筹备处红印</t>
  </si>
  <si>
    <t>年限五冬满足，外任从元规备办典契价银赎回，每两折钱捌百叁拾文算</t>
  </si>
  <si>
    <t>①中华民国贰年十一月福建国税厅筹备处'典按契单'，验字第弍万一千三百九九号（?），给业户陆元赐，记其於光绪十四年十一月典受陆元规建屯田弍亩，坐落古田县嵩（?）州溪里乌（?）壠地方，证人胡振仁，原价银□两申银叁拾元，收纸价壹元；②光绪拾肆年十一月陆元规立典契（白契，後与契单粘连）</t>
  </si>
  <si>
    <t>堂兄弟间典田；契内并缴尽契叁纸共肆纸，原契与别项相连难以折缴。契末另书'今领交阅上项典契价银叁拾陆两纹广正'。</t>
  </si>
  <si>
    <t>目录作 Seller/Buyer（卖契），实为典契；日期1888–1913相符</t>
  </si>
  <si>
    <t>地名'嵩州溪里''万壠''乌壠'字形存疑；契单号码存疑</t>
  </si>
  <si>
    <t>Seller: 陸元規 [LU Yuangui] -- Buyer: 陸元賜 [LU Yuanci] -- Place: 福建省古田縣 [Fujian Sheng Gutian Xian] -- Government</t>
  </si>
  <si>
    <t>1888 to 1913</t>
  </si>
  <si>
    <t>光绪拾叁年拾壹月</t>
  </si>
  <si>
    <t>契尾作'业户林万开买林秋溥田'</t>
  </si>
  <si>
    <t>林万开</t>
  </si>
  <si>
    <t>侯官县三十八都</t>
  </si>
  <si>
    <t>林秋溥田，坐落三十八都</t>
  </si>
  <si>
    <t>用价银肆拾肆两；纳税银壹两叁钱弍分</t>
  </si>
  <si>
    <t>福建布政使司契尾，侯字壹万叁千拾陆号；钤侯官县印多方</t>
  </si>
  <si>
    <t>税率3%。林万开与林万利（同批 Folder 59/61）似为同辈兄弟，林万利典契中列堂兄万顺、万斌；同属侯官县林氏。</t>
  </si>
  <si>
    <t>目录作卖主林万开、买主林秋溥，契尾实为业户（买主）林万开买林秋溥田，买卖方向相反；目录年份1888，契尾为光绪十三年（1887）</t>
  </si>
  <si>
    <t>年份'拾叁'与月份字迹在左侧骑缝处较模糊</t>
  </si>
  <si>
    <t>Seller: 林萬開 [LIN Wankai] -- Buyer: 林秋溥 [LIN Qiupu] -- Place: 福建省侯官縣 [Fujian Sheng Houguan Xian] -- Government</t>
  </si>
  <si>
    <t>光绪拾肆年拾壹月</t>
  </si>
  <si>
    <t>契尾作'业户陈必泉买陈必清屋'</t>
  </si>
  <si>
    <t>闽县（坐落未见）</t>
  </si>
  <si>
    <t>陈必清屋</t>
  </si>
  <si>
    <t>价银叁百零弍两正；税银玖两零陆分</t>
  </si>
  <si>
    <t>福建布政使司契尾，闽字弍万叁千□百伍（?）号；钤闽县印多方</t>
  </si>
  <si>
    <t>与同批 Folder 64（光绪十三年典契，典价200两）、Folder 69（光绪十四年十月卖断契）为同一屋业的一组文书；契尾价银302两约为典价与断价之和，税率3%。</t>
  </si>
  <si>
    <t>契尾字号千位以下数字不清</t>
  </si>
  <si>
    <t>光绪拾肆年拾月吉日</t>
  </si>
  <si>
    <t>原阄分份下本座墙後空地自己起盖墙屋；全室中梁氏、长男锺祥、侄男应祥同署</t>
  </si>
  <si>
    <t>墙屋全座，伍柱肆榀排，四面风火墙，直深伍丈伍尺，并围墙、天井、水井、大厅、後厅等；与 Folder 64 典契同一屋业</t>
  </si>
  <si>
    <t>卖断出屋价镜银玖（?）拾捌两正，库砝大锭白足色足兑</t>
  </si>
  <si>
    <t>梁氏（全室中）；长男锺祥；侄男应祥；外甥何鸿壁（在见）</t>
  </si>
  <si>
    <t>契面钤红色菱形官印（闽县印?）；粘连契尾残片；另有红色长方戳'该业已经登记……上手契'</t>
  </si>
  <si>
    <t>永远卖断，不敢言赎言凑言尽</t>
  </si>
  <si>
    <t>左侧粘连一段印刷契尾残片并钤红印（似为 Folder 68 契尾之骑缝部分）</t>
  </si>
  <si>
    <t>先典（光绪十三年，200两）後断（光绪十四年）的典型例子；并缴吴开杨典契、吴开成断契司单等共陆纸。红笔批注光绪卅二年八月等将此屋当押他人的记录，及民国陆年拾月前进库屋凑卖断与吴家的墨批。</t>
  </si>
  <si>
    <t>断价首字'玖'存疑；红笔批注多字不清</t>
  </si>
  <si>
    <t>光绪拾五年六月吉日</t>
  </si>
  <si>
    <t>黄振发</t>
  </si>
  <si>
    <t>承祖阄分份下</t>
  </si>
  <si>
    <t>高（姓，抬头书写，未具名）</t>
  </si>
  <si>
    <t>闽邑体泉铺，土名下底池地方</t>
  </si>
  <si>
    <t>地基</t>
  </si>
  <si>
    <t>空地壹块；前至官街，後至黄家池磅，左至吴家屋，右至黄家池磅</t>
  </si>
  <si>
    <t>卖断得屋地价镜银壹拾两正，库砝大锭白足色足兑</t>
  </si>
  <si>
    <t>余春仁</t>
  </si>
  <si>
    <t>堂兄黄振福（在见）；母舅高金魁（在见）</t>
  </si>
  <si>
    <t>李珪甫</t>
  </si>
  <si>
    <t>卖断，永不敢言赎言凑言尽</t>
  </si>
  <si>
    <t>买主'高'仅以单字抬头；在见人为出卖人的母舅高金魁，买方高家可能即其亲属。契中许高家择吉起盖厝屋。左侧大书'永保千秋'。</t>
  </si>
  <si>
    <t>池磅'字形存疑</t>
  </si>
  <si>
    <t>Seller: 黃振發 [HUANG Zhenfa] -- Buyer: 高 [GAO] -- Place: 福建省閩邑 [Fujian Sheng Min Xian] -- Personal</t>
  </si>
  <si>
    <t>70A</t>
  </si>
  <si>
    <t>光绪拾伍年拾月吉日</t>
  </si>
  <si>
    <t>高金亮</t>
  </si>
  <si>
    <t>原自己手置厝屋</t>
  </si>
  <si>
    <t>林（姓，抬头书写，未具名）</t>
  </si>
  <si>
    <t>闽邑体泉铺地方</t>
  </si>
  <si>
    <t>厝屋壹座，前後直深叁丈四尺五寸，横濶叁丈弍尺；左至吴家屋，右至黄家池墘，前至街，後至谢家屋，上至椽桁砖瓦，下至磉石地基</t>
  </si>
  <si>
    <t>卖断价银叁拾两正，库砝</t>
  </si>
  <si>
    <t>堂兄金魁</t>
  </si>
  <si>
    <t>李钰成（?）</t>
  </si>
  <si>
    <t>契面钤闽县红印；粘连布政使司契尾（光绪十六年，税银玖钱）</t>
  </si>
  <si>
    <t>卖断，永断葛藤，不敢言赎言凑</t>
  </si>
  <si>
    <t>契尾：光绪拾陆年叁（?）月，闽字弍万陆千柒百肆拾捌号（?），业户林买高金亮屋，价银叁拾两正，税银玖钱正，钤闽县印</t>
  </si>
  <si>
    <t>与 Folder 70 相连：黄振发光绪十五年六月将体泉铺空地卖与高家，高金亮起盖厝屋後同年十月转卖林家，并缴黄家地契壹纸共成弍纸；中人堂兄金魁即 Folder 70 的母舅高金魁。内拨出左爿伍柱厝屋叁堵卖断与杨正春。</t>
  </si>
  <si>
    <t>代笔名、契尾字号及月份存疑</t>
  </si>
  <si>
    <t>Seller: 高金亮 [GAO Jinliang] --Buyer: 林 [LIN] -- Place: 福建省閩縣 [Fujian Sheng Min Xian] -- Personal</t>
  </si>
  <si>
    <t>1889 to 1890</t>
  </si>
  <si>
    <t>70B</t>
  </si>
  <si>
    <t>光绪拾伍年十一月吉日</t>
  </si>
  <si>
    <t>张铨铨</t>
  </si>
  <si>
    <t>承嗣父遗下阄分份下；知契母董氏</t>
  </si>
  <si>
    <t>邹道明</t>
  </si>
  <si>
    <t>闽邑加崇里横山铺秋龙社地方</t>
  </si>
  <si>
    <t>厝屋壹栋三柱弍堵，上有梁椽砖瓦，下有磉石地基，内有门窗户扇俱全；左至郑家墙，右至游家路，前至郑家檐，後至蕴（?）家墙</t>
  </si>
  <si>
    <t>卖断价银拾肆两正，纹广</t>
  </si>
  <si>
    <t>□□□（中人名残缺）</t>
  </si>
  <si>
    <t>董氏（知契母）；堂弟财财（?）（在见）；侄德良（?）（在见）</t>
  </si>
  <si>
    <t>林可辉</t>
  </si>
  <si>
    <t>契面钤闽县红印；粘连光绪二十三年布政使司契尾</t>
  </si>
  <si>
    <t>卖断，永断葛藤，永不得异言</t>
  </si>
  <si>
    <t>契尾：光绪弍拾叁年弍月，闽字叁万伍千□百柒拾叁（?）号，业户邹道明买张铨铨屋，价银壹拾肆两正，纳税银肆钱弍分，钤闽县印</t>
  </si>
  <si>
    <t>交易在光绪十五年，税契迟至光绪二十三年（1897）才办。地点横山铺秋龙社与 Folder 63 王锦发店屋同一社区。</t>
  </si>
  <si>
    <t>中人姓名因纸边残破不全；在见人名字存疑</t>
  </si>
  <si>
    <t>Seller: 張銓銓 [ZHANG Quanquan] -- Buyer: 鄒道明 [ZOU Daoming] -- Place: 福建省閩縣 [Fujian Sheng Min Xian] -- Personal</t>
  </si>
  <si>
    <t>1889 to 1897</t>
  </si>
  <si>
    <t>同治玖年十一月吉日</t>
  </si>
  <si>
    <t>吴开成仝侄瑞枝、长庚</t>
  </si>
  <si>
    <t>原承祖遗；兄开扬在日曾於道光弍拾叁、肆、柒等年间先後典在陈、郑、魏各姓；今叔侄向各典主赎回後统卖；知契嫂洪氏、陈氏</t>
  </si>
  <si>
    <t>陈（姓，抬头书写）</t>
  </si>
  <si>
    <t>闽邑横街铺地方</t>
  </si>
  <si>
    <t>厝屋肆柱弍榀壹座，前叁柱门楼，後引道至横墙，左边肆柱屋，後又有土库肆柱壹栋，右边肆柱，後又有披水壹栋</t>
  </si>
  <si>
    <t>卖断出屋价镜银陆拾捌两正，库砝大锭</t>
  </si>
  <si>
    <t>李怀镜</t>
  </si>
  <si>
    <t>洪氏（知契嫂）；陈氏（知契嫂）；仝侄瑞枝；长庚；亲友陈清霖（?）（在见）</t>
  </si>
  <si>
    <t>林枝三（?）</t>
  </si>
  <si>
    <t>左下钤红色菱形官印（骑缝）；另有红色长方戳'该契已经登记……上手契'</t>
  </si>
  <si>
    <t>卖断，永断葛藤，不得言赎言凑言尽</t>
  </si>
  <si>
    <t>契内列出并缴郑、魏、陈、刘等各姓赎回契、典契、借字及上手老契共弍拾伍纸。应即 Folder 64/69 陈必清契中所提'吴开成断契'的原件，同一'百寿 怙之轩'登记戳。</t>
  </si>
  <si>
    <t>目录日期1890，契文为同治玖年（1870）</t>
  </si>
  <si>
    <t>代笔、在见人名及四至细节存疑</t>
  </si>
  <si>
    <t>Seller: 吳開成 [WU Kaicheng] -- Buyer: 陳氏 [Chenshi] -- Place: 福建省閩邑（縣） [Fujian Sheng Min Xian] -- Government</t>
  </si>
  <si>
    <t>光绪拾陆年十二月日</t>
  </si>
  <si>
    <t>蓝炳孙</t>
  </si>
  <si>
    <t>自己置有</t>
  </si>
  <si>
    <t>程长孙</t>
  </si>
  <si>
    <t>南坑，土名横兰路停仔後</t>
  </si>
  <si>
    <t>茶皮骨山壹片（连杪桐荒山尽底）；上至半坪嫂样张宅为界，下至大横路为界，左至石岭顶重为界，右至近荒山林宅黄竹样为界</t>
  </si>
  <si>
    <t>土风时值契价洋银肆两正</t>
  </si>
  <si>
    <t>赖文仔（说谕人）；张文发（说谕人）；张春老（中见人）</t>
  </si>
  <si>
    <t>蓝乃寿（在见）；王永隆（在见）</t>
  </si>
  <si>
    <t>张喜老</t>
  </si>
  <si>
    <t>卖断皮骨，听买主管业摘茶收租</t>
  </si>
  <si>
    <t>皮骨（田面田底）一并卖断的茶山契；上手全契因出业未便缴付，当日批明。左侧书'山契大发'。蓝姓或为畲族。</t>
  </si>
  <si>
    <t>石岭顶重''嫂样'等地名字形存疑</t>
  </si>
  <si>
    <t>Seller: 藍炳孫 [LAN Bingsun] -- Buyer: 程長孫 [CHENG Changsun] -- Personal</t>
  </si>
  <si>
    <t>粮单／税单</t>
  </si>
  <si>
    <t>光绪拾陆年至光绪拾捌年</t>
  </si>
  <si>
    <t>闽清县正堂（知县胡某）</t>
  </si>
  <si>
    <t>串票由'钦加□品衔署理闽清县正堂加十级纪录十次胡'出给</t>
  </si>
  <si>
    <t>陈雅、陈建玺、陈成嘉、陈道书等陈姓纳户</t>
  </si>
  <si>
    <t>闽清县（乡、都名未填或不清）</t>
  </si>
  <si>
    <t>地丁正耗银及粮米的完纳凭证，未载具体田产</t>
  </si>
  <si>
    <t>地丁银数自陆分至壹两不等（见 attached_docs）</t>
  </si>
  <si>
    <t>每纸钤闽清县红色方印；票面印'倘有重完在城限五日、在乡限十日许粮户粘串禀县以凭将来重银米照票发还粮户以杜重征'等字样</t>
  </si>
  <si>
    <t>共8纸'版串执照'（闽清县徵收地丁钱粮串票，木刻套印，钤红色县印）：①光绪拾捌年地丁，纳户陈雅，银陆分○厘；②光绪拾捌年地丁，纳户陈建玺（?），银□分；③光绪拾捌年粮米，纳户陈建玺（?），米□合□勺（?）；④光绪拾捌年地丁，纳户陈成嘉，银叁钱正；⑤光绪拾捌年地丁，纳户陈万生（?），银壹两正，顶端有手写批注；⑥光绪拾陆年地丁，纳户陈雅，银陆分○厘，完纳；⑦光绪拾陆年地丁，纳户陈道书（?），银壹两正，完纳；⑧光绪拾陆年地丁，纳户陈道书（?），银壹两正，完纳（与⑦相似，或为另一笔）</t>
  </si>
  <si>
    <t>同一陈姓家族数名纳户在两个年度的完粮串票，可见清末地丁徵收的串票格式；光绪十六年票上署衙衔与十八年不同（换了知县）。</t>
  </si>
  <si>
    <t>目录地点作闽县，串票实为闽清县；目录所列陈道书、陈建玺与票面草书大致相符但不能完全确定</t>
  </si>
  <si>
    <t>纳户名草书（陈建玺、陈道书、陈万生）及部分银数存疑；纸张残破</t>
  </si>
  <si>
    <t>Owner: 陳雅 [CHEN Ya] 陳道書 [CHEN Daoshu] 陳建璽 [CHEN Jianxi] and 陳成嘉[CHEN Chengjia]-- Place: 福建省閩縣 [Fujian Sheng Min Xian] -- Government</t>
  </si>
  <si>
    <t>1890 to 1892</t>
  </si>
  <si>
    <t>光绪拾柒年八月吉日</t>
  </si>
  <si>
    <t>林万开仝弟万拱、万钦</t>
  </si>
  <si>
    <t>兄弟三人承父遗物业及手置田园屋宇山场树木，邀请亲友，除拨长子长孙份外，作福、禄、寿三房均分拈阄</t>
  </si>
  <si>
    <t>福、禄、寿三房（林万开兄弟），另长子长孙份及三房公众份</t>
  </si>
  <si>
    <t>草市都、三十八都二图（白龙、湖尾、后圳、坑里、马路等土名）</t>
  </si>
  <si>
    <t>田＋屋＋园＋山林</t>
  </si>
  <si>
    <t>长子长孙份：井嘴、马路下、坑里根面全田各壹亩余（粮立草市都五甲林镇户）；福房：厝屋前进二间、厝边牛栏、典杨定亨厝屋、草仓马路松树下、白龙根面田多号、后圳四角横坵、福城林家面租等；禄房：厝屋第三进二间、杨家隔壁、草仓祠堂下、湖尾水流路、流道、猪蹄坵等田，及买断可真典与白龙张家应半田底（典契价壹百两又借弍拾两）；寿房：厝屋第二进、二进前照墙、祠堂边、白龙后圳灯笼坵、坛路磨盘、湖尾长坵头、洋中等田；三房公众份：祠堂边厝地三间、下底园、对面园、坑口园、桃树坪、坑里厝仔前坪、坑里田仔、坑里山二仑（含沈家契买土名王豹四田仔）等，山内树木柴草三房照轮</t>
  </si>
  <si>
    <t>族长昌意（在见）；堂弟万顺；堂侄可娘（?）；外甥涂振海；侄婿萧庆金；李茂炳</t>
  </si>
  <si>
    <t>侄可举（秉笔）</t>
  </si>
  <si>
    <t>无官印；各房份下及骑缝钤同一私人朱印（花押式方印）</t>
  </si>
  <si>
    <t>粮色多立於三十八都各甲林溥、林昌元、林维豪、林均、林茂、林润之、林栋等户下，'林溥户'可对应 Folder 67 契尾中林万开买林秋溥田（三十八都）。在见族长昌意、堂弟万顺、堂侄可娘（可良?）亦见於 Folder 59 林万利典契（胞叔昌意、堂兄万顺、堂侄可良），可确认林万利与林万开为堂兄弟、同属侯官草市都林氏。规定祖墓风水树木不得砍伐、新埋造坟及补墓花红三股均分。</t>
  </si>
  <si>
    <t>目录未列地点；据粮色草市都、三十八都及关联文书推定为侯官县</t>
  </si>
  <si>
    <t>个别土名（坛路、后圳）及在见人'可娘'字形存疑</t>
  </si>
  <si>
    <t>Owner: 林萬開 [LIN Wankai] -- Personal</t>
  </si>
  <si>
    <t>光绪拾捌年至光绪弍拾年</t>
  </si>
  <si>
    <t>侯官县正堂（李姓知县）</t>
  </si>
  <si>
    <t>串票由侯官县正堂出给</t>
  </si>
  <si>
    <t>陈亮（故军李清的户）</t>
  </si>
  <si>
    <t>侯官县□都，伍柜乡伍</t>
  </si>
  <si>
    <t>屯田（卫所军屯）应纳屯银及屯米</t>
  </si>
  <si>
    <t>每年屯银壹钱叁分玖厘左右、屯米壹斗捌升柒合捌勺左右（分数纸完纳）</t>
  </si>
  <si>
    <t>每纸钤侯官县红色大方印；左下手写串票号码（苏州码）</t>
  </si>
  <si>
    <t>共15纸侯官县'版串执照'（屯粮串票），纳户均为'故军李清的户陈亮'，伍柜乡伍：光绪拾捌年5纸（屯米壹斗正、屯米伍升正、地丁屯银玖分玖厘、地丁屯银肆分○厘、屯米叁升正），署名'钦加同知衔特授福州府侯官县正堂李'；光绪拾玖年4纸（地丁屯银壹钱正?、屯银叁分玖厘、屯米壹斗正、屯米伍升正）；光绪弍拾年6纸（地丁屯银壹钱正、屯银叁分玖厘、屯米壹斗正、屯米伍升正、屯米叁升正、屯米柒合捌勺）</t>
  </si>
  <si>
    <t>故军李清'为原屯军户名，实际纳粮人陈亮以'的户'身份承纳，反映清末军屯田已归民户耕纳而仍沿用旧军户名。每年分屯银、屯米多张串票，三年格式一致。同批 Folder 79 沈齐的屯米串票也写'故军李清的户'。</t>
  </si>
  <si>
    <t>目录把李清列为业主之一，实为原屯军户名（故军李清），实际纳户为陈亮</t>
  </si>
  <si>
    <t>第1、2纸上半部年份未能确认（推定光绪拾玖年）；都名不清</t>
  </si>
  <si>
    <t>Owner: 陳亮 [CHEN Liang] and 李清 [LI Qing] -- Place: 福建省 [Fujian Sheng] -- Government</t>
  </si>
  <si>
    <t>1892 to 1894</t>
  </si>
  <si>
    <t>光绪拾玖年四月吉日</t>
  </si>
  <si>
    <t>王兆熙</t>
  </si>
  <si>
    <t>承祖遗阄分自己份下田面；知契母黄氏</t>
  </si>
  <si>
    <t>林（姓，抬头书写'林处'）</t>
  </si>
  <si>
    <t>侯邑西关外三十八都白龙坛路地方，土名郑鱼坵等坵</t>
  </si>
  <si>
    <t>田面计□则田面弍亩□分零，年俩面租谷叁百伍拾斤；粮色立在四十弍都三啚五甲王亨贞户下</t>
  </si>
  <si>
    <t>典出田面价银叁拾壹两正，纹广</t>
  </si>
  <si>
    <t>堂弟兆桐（?）</t>
  </si>
  <si>
    <t>黄氏（知契母）；胞兄兆清（在见）；胞兄兆荣（在见）</t>
  </si>
  <si>
    <t>王兆榕（?）</t>
  </si>
  <si>
    <t>契面钤红色方印两方（後期验契印?），左下角另有红色菱形印</t>
  </si>
  <si>
    <t>原主取赎不拘年限，照契面银两每两折本钱捌百伍拾文算；未取赎仍听照旧管业</t>
  </si>
  <si>
    <t>小字批注上手原契别业相连未便缴付，如奉官投税赎契所有税耗一起算还，并改大字一字。左侧大书'大吉（?）'。与 Folder 77、78 构成王兆熙→林家同一田面的典、凑断、约字三件。</t>
  </si>
  <si>
    <t>目录作卖契并标'出租'，实为典田面契；地点目录作闽侯县，契文为侯邑（侯官县）</t>
  </si>
  <si>
    <t>面积分数、册载字号、中人及代笔名字形存疑</t>
  </si>
  <si>
    <t>Seller: 王兆熙（出租） [WANG Zhaoxi] -- Buyer: 林 [LIN] -- Place: 福建省閩侯縣 [Fujian Sheng Minhou Xian] -- Government</t>
  </si>
  <si>
    <t>光绪二十年十二月吉日</t>
  </si>
  <si>
    <t>原有承祖遗阄分份下田面；知契母黄氏</t>
  </si>
  <si>
    <t>侯邑西关外三十八都白龙坛路地方，土名郑鱼坵</t>
  </si>
  <si>
    <t>田面数号，计官丈弍亩伍分零，粮色租数俱在原典契内</t>
  </si>
  <si>
    <t>凑断出田面价钱弍千文正</t>
  </si>
  <si>
    <t>叔祖联登（?）</t>
  </si>
  <si>
    <t>王瑞臣</t>
  </si>
  <si>
    <t>白契後经验契：右上红色'验'字戳，'闽侯县西湖区验税契事务所'印，'闽侯县西湖区税契□□'印，红字'清查验讫'，及县印两方</t>
  </si>
  <si>
    <t>凑断，永断葛藤，不得别生枝节、言赎</t>
  </si>
  <si>
    <t>立'凑断契'，在 Folder 76 典契（价银31两）基础上再凑钱2000文断卖；民国时期在闽侯县西湖区验契。铅笔注'廿六/16'等编号。</t>
  </si>
  <si>
    <t>目录作卖契，实为凑断（找贴断卖）契；地点契文为侯官县，验契时属闽侯县</t>
  </si>
  <si>
    <t>中人'联登'字形存疑</t>
  </si>
  <si>
    <t>Seller: 王兆熙 [WANG Zhaoxi] -- Buyer: 林 [LIN] -- Place: 福建省閩侯縣 [Fujian Sheng Minhou Xian] -- Government</t>
  </si>
  <si>
    <t>其他（约字：贴纳粮钱约）</t>
  </si>
  <si>
    <t>光绪弍拾年十二月吉日</t>
  </si>
  <si>
    <t>承祖遗阄分份下田面已卖与林家，但粮色仍在祖手多业相连的户下</t>
  </si>
  <si>
    <t>林（姓，'本乡林处'）</t>
  </si>
  <si>
    <t>侯邑三十八都白龙坛路地方，土名郑鱼坵等坵</t>
  </si>
  <si>
    <t>田面数号，年俩面租谷叁百伍拾斤（乡平秤）</t>
  </si>
  <si>
    <t>林家递年贴纳兆熙完粮钱伍百文</t>
  </si>
  <si>
    <t>胞兄兆清（在见）</t>
  </si>
  <si>
    <t>右上红色小方印；右下大方印（县印?）；左下红色菱形印</t>
  </si>
  <si>
    <t>因田赋粮色与祖手多业相连未分割，约定由林家每年贴钱500文给王兆熙代为完粮，待兆熙查明自归粮色後撤回由林家自纳，反映'推收过户'不完全的实务安排。与 Folder 76、77 同日／同业。</t>
  </si>
  <si>
    <t>目录作卖契，实为贴纳粮钱约字</t>
  </si>
  <si>
    <t>左侧大字批记未能辨读</t>
  </si>
  <si>
    <t>光绪弍拾壹年／光绪弍拾陆年</t>
  </si>
  <si>
    <t>侯官县正堂、永福县正堂</t>
  </si>
  <si>
    <t>两县分别出给的完粮串票</t>
  </si>
  <si>
    <t>沈齐；郑其英</t>
  </si>
  <si>
    <t>侯官县伍柜乡伍；永福县罗字号</t>
  </si>
  <si>
    <t>屯田屯米及民田地丁银的完纳凭证</t>
  </si>
  <si>
    <t>屯米柒合捌勺；地丁银壹钱叁分□厘</t>
  </si>
  <si>
    <t>各钤县红色大方印</t>
  </si>
  <si>
    <t>①侯官县'版串执照'，光绪弍拾陆年屯米柒合捌勺，故军李清的户沈齐，署名'钦加同知衔□任永安县调署侯官县正堂叶'，顶部墨书'田□□'；②永福县'粮户执照'，光绪弍拾壹年分地丁银，纳户郑其英，银壹钱叁分□厘，福州府永福县正堂屠（?），红色戳记'倘有重完错写限十日内赴柜改正，如迟自误'</t>
  </si>
  <si>
    <t>沈齐屯米串票也写'故军李清的户'，屯米数'柒合捌勺'与 Folder 75 陈亮光绪二十年的一纸完全相同，可能是同一份屯田转到沈齐名下。</t>
  </si>
  <si>
    <t>目录地点作永安县和永福县；'永安县'实为侯官县知县叶某的原任官衔，第一纸属侯官县</t>
  </si>
  <si>
    <t>永福县串票的知县姓、厘以下数字不清</t>
  </si>
  <si>
    <t>Owner: 鄭其英 [ZHENG Qiying] and 沈齊 [SHEN Qi] -- Place: 福建省永安县和永福县 [Fujian Sheng Yongan Xian and Yongfu Xian] -- Government</t>
  </si>
  <si>
    <t>1895 to 1900</t>
  </si>
  <si>
    <t>光绪贰拾肆年十一月日</t>
  </si>
  <si>
    <t>苏章林</t>
  </si>
  <si>
    <t>承祖遗下置有皮骨分定晚田</t>
  </si>
  <si>
    <t>刘仕懋</t>
  </si>
  <si>
    <t>濠墩门前，土名溪壁洲碓下外郎目</t>
  </si>
  <si>
    <t>皮骨（田面田底）晚田，原计大苗糙米壹箩七斗六管，该载民产壹亩零；上至陈宅田，下至杨宅田，左至陈宅田，右至本宅田为界；坐落长埔村</t>
  </si>
  <si>
    <t>土风时值契价纹银叁拾贰两正；另批中书洋银壹两伍钱弍分正</t>
  </si>
  <si>
    <t>刘仕德（说谕人）</t>
  </si>
  <si>
    <t>苏章狼（?）（见银人）</t>
  </si>
  <si>
    <t>邱宗海</t>
  </si>
  <si>
    <t>议定叁冬取赎，办得原价即便退还；如无原价任从买主管业收租</t>
  </si>
  <si>
    <t>批明上手契叁与网房相共不便缴照；粮存太里乙啚五甲苏廷妹户名，当官完粮不得丢累。说谕人刘仕德与买主刘仕懋似为兄弟。左侧书'卖契'。</t>
  </si>
  <si>
    <t>见银人名第三字存疑；县份无法判断</t>
  </si>
  <si>
    <t>Seller: 蘇章林 [SU Zhanglin] -- Buyer: 劉仕懋 [LIU Shimao] -- Personal</t>
  </si>
  <si>
    <t>光绪贰拾五年八月日</t>
  </si>
  <si>
    <t>张宝詨</t>
  </si>
  <si>
    <t>承祖遗下置有粟厂屋；立'找断胞头加壹字'</t>
  </si>
  <si>
    <t>南坑，土名後门山</t>
  </si>
  <si>
    <t>粟厂壹伴（座），四至界内在前契明白</t>
  </si>
  <si>
    <t>找出洋银贰两弍钱伍分正</t>
  </si>
  <si>
    <t>何章林（说找人）；张务孙（劝找人）</t>
  </si>
  <si>
    <t>张鉄狗</t>
  </si>
  <si>
    <t>找断之後任从买主管业收租，不敢阻执</t>
  </si>
  <si>
    <t>在前卖契基础上找价断卖；买主程长孙与 Folder 72（蓝炳孙卖茶山，光绪十六年）同一人，地点同为南坑。'说找人''劝找人'的称谓少见。</t>
  </si>
  <si>
    <t>目录日期1890，契文为光绪二十五年（1899）；目录作卖契，实为找断字</t>
  </si>
  <si>
    <t>粟厂'字形、卖主名'詨'字存疑</t>
  </si>
  <si>
    <t>Seller: 張寶詨 [ZHANG Baoxiao] -- Buyer: 程長孫 [CHENG Changsun] -- Personal</t>
  </si>
  <si>
    <t>光绪弍拾陆年闰捌月吉日</t>
  </si>
  <si>
    <t>邹允春</t>
  </si>
  <si>
    <t>承父手置；契中言'此屋系父自己手置'</t>
  </si>
  <si>
    <t>和意轩老人会</t>
  </si>
  <si>
    <t>闽邑嘉崇里文山铺秋龙社地方</t>
  </si>
  <si>
    <t>厝屋叁柱弍榀排弍座共成弍堵，上有梁椽砖瓦，下至地基磉石地坪，内有门窗户扇地坪板榻一切俱全；横阔弍丈弍尺零，直深弍丈肆尺零；左至郑家屋，右至毛家路，前至郑家檐坪，後至蕴家墙；屋角水井通用</t>
  </si>
  <si>
    <t>卖断得厝价库平银弍拾肆两正</t>
  </si>
  <si>
    <t>王伊细</t>
  </si>
  <si>
    <t>表弟黄公弼（在见）</t>
  </si>
  <si>
    <t>李松轩</t>
  </si>
  <si>
    <t>白契；民国时期福州市政府紫色'验讫'戳（37年?月，18488A），另有红色戳记若干</t>
  </si>
  <si>
    <t>卖断，永断葛藤</t>
  </si>
  <si>
    <t>所卖即 Folder 70B 张铨铨光绪十五年卖与邹道明的秋龙社厝屋（四至相同，并缴张铨铨原契壹纸、司单壹纸共成叁纸），邹允春应为邹道明之子。买主为民间团体'和意轩老人会'。内标注涂用弍字。</t>
  </si>
  <si>
    <t>验讫戳日期数字存疑</t>
  </si>
  <si>
    <t>Seller: 鄒允春 [ZOU Yunchun] -- Buyer: 和意軒老人會 [Heyixuan Laorenhui] -- Place: 福建省閩邑（縣） [Fujian Sheng Min Xian ] -- Government</t>
  </si>
  <si>
    <t>光绪弍拾陆年</t>
  </si>
  <si>
    <t>侯官县正堂叶（钦加同知衔本任永安县调署侯官县）</t>
  </si>
  <si>
    <t>侯官县版串执照</t>
  </si>
  <si>
    <t>沈齐（故军李清的户）</t>
  </si>
  <si>
    <t>侯官县□都，伍柜乡伍，雨字号</t>
  </si>
  <si>
    <t>屯田地丁屯银</t>
  </si>
  <si>
    <t>地丁屯银捌分玖厘</t>
  </si>
  <si>
    <t>钤侯官县红色大方印</t>
  </si>
  <si>
    <t>与 Folder 79 第一纸同年同官同纳户，沈齐仍以'故军李清的户'名义完纳屯银，延续 Folder 75 陈亮的屯粮户。</t>
  </si>
  <si>
    <t>目录地点作永安县；'永安县'是知县叶某的本任官衔，串票实属侯官县</t>
  </si>
  <si>
    <t>年份'陆'字、纳户名'齐'字草书存疑</t>
  </si>
  <si>
    <t>Owner: 沈齊 [SHEN Qi] -- Place: 福建省永安縣 [Fujian Sheng Yongan Xian] -- Government</t>
  </si>
  <si>
    <t>83A</t>
  </si>
  <si>
    <t>光绪弍拾陆年闰捌月日</t>
  </si>
  <si>
    <t>承父手置</t>
  </si>
  <si>
    <t>与 Folder 82 同一厝屋：叁柱弍榀排弍座，横阔弍丈弍尺零，直深弍丈肆尺零，四至同</t>
  </si>
  <si>
    <t>库平银弍拾肆两正</t>
  </si>
  <si>
    <t>无官印、无验讫戳</t>
  </si>
  <si>
    <t>为 Folder 82 正契的草书副本／底稿：文字相同，但无画押、无印记，左侧同样书'添丁大吉（?）'。</t>
  </si>
  <si>
    <t>目录买主作'秋意轩老人会'，契文为'和意轩老人会'；目录地点 N/A，契文为闽邑秋龙社</t>
  </si>
  <si>
    <t>草书，个别字依 Folder 82 正本对照辨读</t>
  </si>
  <si>
    <t>Seller: 鄒允春 [ZOU Yunchun] -- Buyer: 秋意軒老人會 [Qiuyixuan Laoren Hui] -- Place: N/A -- Personal</t>
  </si>
  <si>
    <t>光绪弍拾玖年十二月日</t>
  </si>
  <si>
    <t>林兴清仝胞弟兴佃</t>
  </si>
  <si>
    <t>承父在日自己手置；知契母洪氏</t>
  </si>
  <si>
    <t>程贞□（?）（'程贞雨处'）</t>
  </si>
  <si>
    <t>□□都土田庄里地方</t>
  </si>
  <si>
    <t>根面全民屯田叁号：册载海字弍千八十三号田壹亩叁分叁□□毛，又弍千八十四号田壹亩肆分，并荒田</t>
  </si>
  <si>
    <t>缴典出价银肆拾伍两正，纹广</t>
  </si>
  <si>
    <t>程本容</t>
  </si>
  <si>
    <t>洪氏（知契母）；胞弟兴佃；胞叔克院（在见）</t>
  </si>
  <si>
    <t>林兴清自笔</t>
  </si>
  <si>
    <t>伍年为限，限满之日照契面银两依期取赎，每两银折铜钱捌百伍拾文</t>
  </si>
  <si>
    <t>缴典'即将此前典给他人的田转典：并缴林兴火典契、林兴火典程贞嫩（?）典契、黄来宝典契、詹黄二姓合约字共成伍纸。左侧大书'大□'。</t>
  </si>
  <si>
    <t>目录作卖主林与清，实为'林兴清'，文书为缴典契</t>
  </si>
  <si>
    <t>承典人名、都名及面积零数存疑</t>
  </si>
  <si>
    <t>Seller: 林與清 [LIN Yuqing] -- Place: unknown --Personal</t>
  </si>
  <si>
    <t>光绪弍拾玖年拾弍月日</t>
  </si>
  <si>
    <t>张文楚</t>
  </si>
  <si>
    <t>自己手置</t>
  </si>
  <si>
    <t>金宽英</t>
  </si>
  <si>
    <t>永泰县</t>
  </si>
  <si>
    <t>本都乌山头地方，土名仙壋後垅头并深垅尾垅仔</t>
  </si>
  <si>
    <t>屯田底面俱全乙号，共受种壹亩，年载大租乙百弍拾斤正民秤，配粮柒分弍厘</t>
  </si>
  <si>
    <t>时值价银壹拾五两正，纹广</t>
  </si>
  <si>
    <t>程章（代字中侄）</t>
  </si>
  <si>
    <t>弟文亮（在见）</t>
  </si>
  <si>
    <t>程章</t>
  </si>
  <si>
    <t>原契白契；民国三十三年补税，附卖契本契、印花税票</t>
  </si>
  <si>
    <t>期言约四年，限满之日备出纹银照契面银两对月期取赎；如未赎仍付管业</t>
  </si>
  <si>
    <t>民国卅三年（1944）六月福建省田赋粮食管理处发印'卖契本契'（云字第□号，永泰县）：买主金宽英住嵩口镇，坐落乌头山，卖主张文楚住嵩口镇，卖价弍拾元，立契日期光绪廿九年十二月，应纳契税叁元；贴国民政府印花税票壹圆，钤福建省永泰田赋粮食管理处红印；上印契税条例摘要（卖契税率15%）</t>
  </si>
  <si>
    <t>并缴杨宋忠卖契、原卖断契乙纸、原赎回契乙纸共成四纸。光绪年间的活卖契到1944年才补税，原价15两被折成20元计税。契上另贴小纸条墨书地名'嵩□羽湖（?）系'，左上书'大吉'及铅笔'1944'。</t>
  </si>
  <si>
    <t>土名'仙壋''垅仔'字形存疑；代字人'程章'次字存疑</t>
  </si>
  <si>
    <t>Owner: 金寬英 [JIN Kuanying] -- Seller: 張文楚 [ZHANG Wenchu] -- Buyer: 金寬英 [JIN Kuanying] -- Place: 福建省永泰縣 [Fujian Sheng Yongtai Xian] -- Government</t>
  </si>
  <si>
    <t>1903 to 1943</t>
  </si>
  <si>
    <t>光绪叁拾年十一月 日</t>
  </si>
  <si>
    <t>许春愿</t>
  </si>
  <si>
    <t>承祖遗下民田根面</t>
  </si>
  <si>
    <t>黄财业</t>
  </si>
  <si>
    <t>坐产涛(?)亭洋地方，土名祠堂门前塘(?)崛(?)等处</t>
  </si>
  <si>
    <t>民田根面全壹号，受种柒升伍合，年载租米柒斗伍升，粮立化册许文相户下</t>
  </si>
  <si>
    <t>大洋陆拾员正</t>
  </si>
  <si>
    <t>黄振章</t>
  </si>
  <si>
    <t>春岐（见兄）</t>
  </si>
  <si>
    <t>陈经森</t>
  </si>
  <si>
    <t>原契为白契，后贴中华民国印花税票（贰分）；民国三十二年县卖契盖县印、教育附加税紫印、红色契税条例印</t>
  </si>
  <si>
    <t>卖断，永不敢别生枝节；粮色由买主过割入户</t>
  </si>
  <si>
    <t>1) 光绪三十年十一月许春愿立卖断契（白契，后贴民国印花税票贰分一枚）；2) 民国三十二年四月闽侯(?)县'县卖契'官契纸：承买人黄财业、出卖人许春愿、中证人黄振章，契价栏写'陆拾'，盖'附加县教育经费五成''奉准借用'等紫印及县印，执收联第1539号</t>
  </si>
  <si>
    <t>内注'出字壹字再照'；契末批'带多额未缴再照'。清末白契到1943年才补办县卖契，相隔近四十年。</t>
  </si>
  <si>
    <t>坐落地名'涛亭洋''塘崛'字形存疑；县卖契价格栏仅见'陆拾'</t>
  </si>
  <si>
    <t>Owner: 黃財業 [HUANG Caiye] -- Seller: 許春願 [XU Chunyuan] -- Buyer: 黃財業 [HUANG Caiye] -- Place: 福建省閩縣 [Fujian Sheng Min Xian] -- Government</t>
  </si>
  <si>
    <t>1904 to 1943</t>
  </si>
  <si>
    <t>光绪叁拾弍年拾壹月 日</t>
  </si>
  <si>
    <t>林为良</t>
  </si>
  <si>
    <t>将田复还卖断与族弟</t>
  </si>
  <si>
    <t>林可琼（族弟）</t>
  </si>
  <si>
    <t>□□都□□亭地方，坐□洛(?)</t>
  </si>
  <si>
    <t>根面全民田壹号，册载地字弍百□号，计官丈壹亩伍分二…，粮银壹钱弍分弍厘七毫，色米壹升柒合五勺；挂本都七甲林福户下</t>
  </si>
  <si>
    <t>卖断田价银壹百叁拾两</t>
  </si>
  <si>
    <t>刘兴国</t>
  </si>
  <si>
    <t>叔维屏(?)（在见）</t>
  </si>
  <si>
    <t>王清泉</t>
  </si>
  <si>
    <t>闽侯县西门(?)区税契分局印、西湖区验税契事务所'验讫'印（民国补验），另有'永远执业'批字</t>
  </si>
  <si>
    <t>卖断，永断葛藤，不敢生枝节</t>
  </si>
  <si>
    <t>文书残破缺角。契内批'由契壹纸并缴杨鹏超(?)典契''林可锜凑断壹纸'，说明此前曾典与杨姓、有凑断契。中人刘兴国后来在1913年成为林可琼该类田产的买主（见Box 2, Folder 94）。</t>
  </si>
  <si>
    <t>目录作民国闽侯县，契文为光绪年间（闽侯县之名见于民国补验印）</t>
  </si>
  <si>
    <t>残缺处坐落、册号不全；在见人名'维屏'存疑</t>
  </si>
  <si>
    <t>Seller: 林為良 [LIN Weiliang] -- Buyer: 林可瓊 [LIN Keqiong] -- Place: 福建省閩侯縣 [Fujian Sheng Minhou Xian] -- Government</t>
  </si>
  <si>
    <t>光绪三十二年三月吉日</t>
  </si>
  <si>
    <t>郭宗仲</t>
  </si>
  <si>
    <t>自己手置之屋</t>
  </si>
  <si>
    <t>王齐发</t>
  </si>
  <si>
    <t>闽邑文山铺秋龙社地方</t>
  </si>
  <si>
    <t>弍座厝屋壹间左边房屋壹堵、右边廊境壹小堵，共成叁堵，坐北向南；四至：前天井、后墙、左郭境、右王家屋；门窗户扇廊石一切俱全，出入门路水井照旧通行</t>
  </si>
  <si>
    <t>镜银壹拾两正</t>
  </si>
  <si>
    <t>高依赐；林锡甫</t>
  </si>
  <si>
    <t>宗阶（胞弟，在见）</t>
  </si>
  <si>
    <t>齐光波(?)</t>
  </si>
  <si>
    <t>卖断，不得言凑言赎，永断葛藤</t>
  </si>
  <si>
    <t>红格纸书写、无任何印记，应为Folder 88B同一交易的另一纸（草稿或副本）。'原契壹纸共成弍纸缴付'。地点秋龙与规范示例中的秋龙巷相同，买主亦为王家。</t>
  </si>
  <si>
    <t>代笔人名末二字存疑（88B作'齐光茂'?）</t>
  </si>
  <si>
    <t>Seller: 郭宗仲 [GUO Zongzhong] -- Buyer: 王齊發 [WANG Qifa] -- Personal</t>
  </si>
  <si>
    <t>88A</t>
  </si>
  <si>
    <t>光绪卅弍年□月吉日</t>
  </si>
  <si>
    <t>郭武亮(?)（目录作郭成亮）</t>
  </si>
  <si>
    <t>自己所置之屋</t>
  </si>
  <si>
    <t>王骏发</t>
  </si>
  <si>
    <t>□□地方，坐西向东</t>
  </si>
  <si>
    <t>壹座左边厨房壹所…坐西向东，上至椽桁砖瓦，前至天井、后至墙、左至王家天井、右至□家壁</t>
  </si>
  <si>
    <t>契单载价银叁拾(?)两</t>
  </si>
  <si>
    <t>林玉明(?)</t>
  </si>
  <si>
    <t>陈有义(?)</t>
  </si>
  <si>
    <t>县契、国税厅筹备处契单（民国三年）、财政厅验税契证（民国十八年）及印花税票、地保方铨(?)印、福州市人民政府印</t>
  </si>
  <si>
    <t>卖断，不得言凑言赎</t>
  </si>
  <si>
    <t>1) 光绪卅二年郭武(成?)亮立卖断契（白契，后盖印）；2) 光绪年间县契（官契纸），业户王骏发；3) 福建国税厅筹备处卖断契单，中华民国三年十月；4) 福建财政厅验税契证，中华民国十八年十一月二十七日，业户王骏发，贴印花税票四枚；5) 福州市人民政府印记（1950年代）</t>
  </si>
  <si>
    <t>一件交易连贴清、民国、新中国三个时期的验契文件。买主王骏发与Folder 88/88B的买主王齐发同姓、同年，屋契四至均提'王家'，疑为同一王姓家族在同一街区集中购屋。</t>
  </si>
  <si>
    <t>目录卖主作郭成亮，图像签名似'郭武亮'</t>
  </si>
  <si>
    <t>图像分辨率低，价格、月份、中人、代笔多处难辨</t>
  </si>
  <si>
    <t>Seller: 郭成亮 [GUO Chengliang] -- Buyer: 王駿發 [WANG Junfa] -- Place: 福建省閩侯縣 [Fujian Sheng Minhou Xian] -- Personal</t>
  </si>
  <si>
    <t>1906 to 1955</t>
  </si>
  <si>
    <t>88B</t>
  </si>
  <si>
    <t>光绪叁拾弍年叁(?)月吉日</t>
  </si>
  <si>
    <t>弍座厝屋左边房屋壹堵、右边廊境壹小堵，共成叁堵，坐北向南；前至天井、后至墙、左郭境、右王家屋</t>
  </si>
  <si>
    <t>壹拾两正（民国十年卖契折价拾伍元）</t>
  </si>
  <si>
    <t>齐光茂(?)</t>
  </si>
  <si>
    <t>闽县文山铺地保方铨(?)印（闽字第□号）、闽县税契局'验讫'椭圆印；县契官印；民国十年卖契盖印并载应纳税额</t>
  </si>
  <si>
    <t>1) 光绪叁拾弍年郭宗仲立卖断契（与Folder 88同文，盖地保印与验讫印）；2) 光绪年间县契（官契纸），王齐发买郭宗仲屋；3) 民国十年四月一日'卖契'（例则摘要式），买主王齐发、卖主郭宗仲、中人高依赐，不动产种类屋，卖价拾伍元，坐落文山铺，面积壹间(?)</t>
  </si>
  <si>
    <t>与Folder 88为同一交易，此件为加盖地保及税契印的正式本，并附官契与民国十年补税卖契。'地保'栏有签押与印记。</t>
  </si>
  <si>
    <t>立契月份'叁月'或'冬月'；民国卖契税额难辨</t>
  </si>
  <si>
    <t>Seller: 郭宗仲 [GUO Zongzhong] -- Buyer: 王齊發 [WANG Qifa] -- Place: 福建閩侯縣 [Fujian Sheng Minhou Xian] -- Personal</t>
  </si>
  <si>
    <t>1906 to 1921</t>
  </si>
  <si>
    <t>宣统</t>
  </si>
  <si>
    <t>宣统元年 月 日</t>
  </si>
  <si>
    <t>何振华</t>
  </si>
  <si>
    <t>契尾载'业户何金盛买何振华田'</t>
  </si>
  <si>
    <t>何金盛</t>
  </si>
  <si>
    <t>契尾只载买田，未详亩数坐落</t>
  </si>
  <si>
    <t>价银拾玖两捌钱，税银伍钱玖分肆厘</t>
  </si>
  <si>
    <t>福建布政使司颁契尾，布字壹百肆拾捌(?)号，骑缝号'二千一百三十九(?)号'，盖建阳县印数方</t>
  </si>
  <si>
    <t>税额恰为价银3%（19.8×0.03=0.594）。契尾印刷部分引乾隆十五年奏准契尾格式。</t>
  </si>
  <si>
    <t>目录作卖主何金盛、买主何振华；契尾明写业户何金盛买何振华田，买卖方向相反</t>
  </si>
  <si>
    <t>契尾编号数字部分存疑</t>
  </si>
  <si>
    <t>Seller: 何金盛 [HE Jinsheng] -- Buyer: 何振華 [HE Zhenhua] -- Place: 福建省建陽縣 [Fujian Sheng Jianyang Xian] -- Government</t>
  </si>
  <si>
    <t>宣统元年拾壹月吉日</t>
  </si>
  <si>
    <t>家炽（胞兄）</t>
  </si>
  <si>
    <t>自己阄分份下，卖与胞弟</t>
  </si>
  <si>
    <t>尚堃(?)（胞弟）</t>
  </si>
  <si>
    <t>坐址塘口洋，土名坛前</t>
  </si>
  <si>
    <t>民田壹号，受种叁斗叁坵；粮米挂在集壹图壹甲吴玉典(?)户下，粮壹钱零捌厘，仓米壹升柒合，并丁在内</t>
  </si>
  <si>
    <t>纹广银弍拾两正</t>
  </si>
  <si>
    <t>陈端辛(?)（代笔兼中）</t>
  </si>
  <si>
    <t>尚彭(?)（胞弟，在见）</t>
  </si>
  <si>
    <t>陈端辛(?)</t>
  </si>
  <si>
    <t>红印'验讫'及税契印，另有县印一方及骑缝印</t>
  </si>
  <si>
    <t>卖断，不敢言说取赎尽贴</t>
  </si>
  <si>
    <t>兄弟间分家后的买卖，田由胞弟召佃收租。代笔人'陈端辛'与Folder 91的中人'族叔端辛'似为同一人，两件格式、验讫印相同，应同出一陈姓家族。</t>
  </si>
  <si>
    <t>目录卖主作'炽原'，实为'家炽'，'原'属下文'原自己阄分'</t>
  </si>
  <si>
    <t>买主名'尚□'字形似'炊'，目录作'堃'；代笔人名存疑</t>
  </si>
  <si>
    <t>Seller: 熾原 [Chiyuan] -- Buyer: 尚堃 [Shangkun] -- Place: unknown -- Government</t>
  </si>
  <si>
    <t>宣统弍年拾壹月吉日</t>
  </si>
  <si>
    <t>开保（堂侄孙）</t>
  </si>
  <si>
    <t>原父手阄分份下</t>
  </si>
  <si>
    <t>朝朋（叔祖）</t>
  </si>
  <si>
    <t>坐址本洋，土名尝竹墩(?)</t>
  </si>
  <si>
    <t>民田壹号，受种弍斗壹坵；粮米挂在保弍(?)图七甲陈元华户下，粮应壹钱伍分，米应弍升陆合</t>
  </si>
  <si>
    <t>番银柒拾员正，每员陆钱叁分重(?)</t>
  </si>
  <si>
    <t>端辛(?)（族叔）</t>
  </si>
  <si>
    <t>端理（父，在见知契）</t>
  </si>
  <si>
    <t>开次（族弟）</t>
  </si>
  <si>
    <t>红印'验讫'，县印数方，另有骑缝印</t>
  </si>
  <si>
    <t>典，约若干年为限，限满备银照契面原数取赎，外加银水柒占伍厘</t>
  </si>
  <si>
    <t>典主叔祖'朝朋'可能即Folder 102连江县业主陈朝朋；与Folder 90同族同格式。</t>
  </si>
  <si>
    <t>目录未列买主（典主朝朋）</t>
  </si>
  <si>
    <t>土名、图甲号、典期年限存疑</t>
  </si>
  <si>
    <t>Seller: 開保 [Kaibao] -- Government</t>
  </si>
  <si>
    <t>宣统弍年十二月 日</t>
  </si>
  <si>
    <t>刘嘉命</t>
  </si>
  <si>
    <t>刘源森（本村堂孙）</t>
  </si>
  <si>
    <t>本村</t>
  </si>
  <si>
    <t>地基／屋地＋园</t>
  </si>
  <si>
    <t>皮(?)骨坪基壹所及菜园；上至刘宅、左至菜园大路、右至山边为界</t>
  </si>
  <si>
    <t>时值土风断契价洋银捌两弍钱伍分正</t>
  </si>
  <si>
    <t>刘孝元(?)</t>
  </si>
  <si>
    <t>吴清明（说谕人）；刘华老（堂孙，知契人）</t>
  </si>
  <si>
    <t>刘孝铠</t>
  </si>
  <si>
    <t>建阳县印数方</t>
  </si>
  <si>
    <t>卖断，不敢阻挠</t>
  </si>
  <si>
    <t>当日面批：菜园上手老契一时不能寻出，日后寻出不得行用。以'洋银'计两。</t>
  </si>
  <si>
    <t>坪基前一字'皮'存疑</t>
  </si>
  <si>
    <t>Seller: 劉嘉命 [LIU Jiaming] -- Buyer: 劉源森 [LIU Yuansen] -- Place: 福建省建陽縣 [Fujian Sheng Jianyang Xian] -- Government</t>
  </si>
  <si>
    <t>王昌年</t>
  </si>
  <si>
    <t>原祖遗下</t>
  </si>
  <si>
    <t>李学墪（目录作李学堃）</t>
  </si>
  <si>
    <t>侯邑四十一都盘石区地方，土名洸(?)沙亭溪边石牌墘</t>
  </si>
  <si>
    <t>民田根壹号，田壹坵，官丈壹亩肆分零；年纳张家租谷早晚壹百柒拾斤平秤</t>
  </si>
  <si>
    <t>田根价钱玖拾仟文正（契单折价银玖拾元）</t>
  </si>
  <si>
    <t>王昌厚；方赓田</t>
  </si>
  <si>
    <t>马氏（母亲，在见）</t>
  </si>
  <si>
    <t>王其松</t>
  </si>
  <si>
    <t>印花税票一枚、'验讫'印；民国四年财政厅契单，盖福建财政厅印、闽侯县印及'东水汤(?)'经征处印</t>
  </si>
  <si>
    <t>1) 宣统弍年王昌年立卖断田根契（后贴中华民国印花税票，盖验讫）；2) 福建财政厅卖断契单，中华民国四年三月二十一日，税字第四万一百八十号：业户李学墪于清宣统二年十一月买受王昌年田根壹亩肆分，坐落闽侯县盘石区，中证王昌厚，价银玖拾元，应纳税银叁元</t>
  </si>
  <si>
    <t>田根卖出后仍须向张家纳租，典型一田二主。母亲马氏在见。</t>
  </si>
  <si>
    <t>买主名图像作'李学墪'，目录作'李学堃'</t>
  </si>
  <si>
    <t>土名首字存疑</t>
  </si>
  <si>
    <t>Seller: 王昌年 [WANG Changnian] -- Buyer: 李學堃 [LI Xuekun] -- Place: 福建省閩侯縣 [Fujian Sheng Minhou Xian] -- Government</t>
  </si>
  <si>
    <t>1910 to 1915</t>
  </si>
  <si>
    <t>93A</t>
  </si>
  <si>
    <t>方兆扬</t>
  </si>
  <si>
    <t>方亨猷</t>
  </si>
  <si>
    <t>侯邑三十九都地方，土名铁(?)大洋居前田等处</t>
  </si>
  <si>
    <t>民田大小伍坵，官丈肆亩零，租纳梁(?)林家谷共肆百叁拾弍斤</t>
  </si>
  <si>
    <t>田根价钱壹百肆拾捌千文</t>
  </si>
  <si>
    <t>王志坚</t>
  </si>
  <si>
    <t>高氏（母亲，在见）；辉扬（堂弟，在见）</t>
  </si>
  <si>
    <t>方兆扬（自笔）</t>
  </si>
  <si>
    <t>印花税票三枚、验讫印；民国四年典按契单盖财政厅印及闽侯县印</t>
  </si>
  <si>
    <t>约叁年为限，限满照契面钱文取赎</t>
  </si>
  <si>
    <t>1) 宣统弍年方兆扬立典田根契（贴印花税票三枚，验讫）；2) 福建财政厅典按契单，中华民国四年八月三十日：业户方亨猷于清宣统二年十一月典受方兆扬田根肆亩零，坐落闽侯县三十九都大洋地方，中证王志坚，价银壹百肆拾捌元(?)，应纳税银叁元</t>
  </si>
  <si>
    <t>同族间典田根，自笔立契。</t>
  </si>
  <si>
    <t>土名首字及租主姓氏存疑</t>
  </si>
  <si>
    <t>Seller: 方兆揚 [FANG Zhaoyang] -- Buyer: 方亨猷 [FANG Hengyou] -- Place: 福建閩侯縣 [Fujian Sheng Minhou Xian] -- Personal</t>
  </si>
  <si>
    <t>验契凭证</t>
  </si>
  <si>
    <t>5 北洋（1912-1927）</t>
  </si>
  <si>
    <t>民国</t>
  </si>
  <si>
    <t>中华民国贰年拾壹月（契单）；原契清光绪叁拾贰年拾壹月</t>
  </si>
  <si>
    <t>契单载业户林可琼于清光绪叁拾贰年拾壹月买受林为良田</t>
  </si>
  <si>
    <t>林可琼</t>
  </si>
  <si>
    <t>闽侯县□□都井(?)□亭地方</t>
  </si>
  <si>
    <t>田壹亩伍分(?)零</t>
  </si>
  <si>
    <t>原价银壹百叁拾两，申银壹百□拾肆元；纸价壹元</t>
  </si>
  <si>
    <t>刘兴国（证）</t>
  </si>
  <si>
    <t>福建国税厅筹备处卖断契单，盖福建国税厅筹备处印、闽侯县税契印，骑缝验字号</t>
  </si>
  <si>
    <t>正是Folder 87光绪三十二年林为良卖与林可琼一契的民国二年补税契单，原价130两与原契吻合，'证刘兴国'即原契中人。</t>
  </si>
  <si>
    <t>目录作卖主林可琼、买主刘兴国；契单明载业户（买主）林可琼买受林为良田，刘兴国只是证人</t>
  </si>
  <si>
    <t>残破，坐落都名与申银数字不全</t>
  </si>
  <si>
    <t>Seller: 林可瓊 [LIN Keqiong] -- Buyer: 劉興國 [LIU Xingguo] -- Place: 福建省閩侯縣 [Fujian Sheng Minhou Xian] -- Government</t>
  </si>
  <si>
    <t>中华民国贰年拾壹月叁(?)日（契单）；原契清光绪贰拾年拾贰月</t>
  </si>
  <si>
    <t>王兆熙(?)</t>
  </si>
  <si>
    <t>契单载业户林万开于清光绪贰拾年拾贰月买受王兆熙(?)田</t>
  </si>
  <si>
    <t>闽侯县三十八都白龙坊(?)地方</t>
  </si>
  <si>
    <t>田贰亩零</t>
  </si>
  <si>
    <t>原价银□两，申银壹百叁拾捌元；纸价壹元肆角</t>
  </si>
  <si>
    <t>王联登（证）</t>
  </si>
  <si>
    <t>福建国税厅筹备处卖断契单，盖筹备处印、闽侯县税契印，验字第三万七千□四九号</t>
  </si>
  <si>
    <t>买主林万开另见Folder 97（同年补税另一块田）。</t>
  </si>
  <si>
    <t>目录卖主作王联邓，契单中'王联登'为证人，卖主似为王兆熙</t>
  </si>
  <si>
    <t>卖主名第三字、原价两数、坐落地名存疑</t>
  </si>
  <si>
    <t>Seller: 王聯鄧 [WANG Liandeng] -- Buyer: 林萬開 [LIN Wankai] -- Place: 福建省閩侯縣 [Fujian Sheng Minhou Xian] -- Government</t>
  </si>
  <si>
    <t>中华民国贰年拾壹月叁拾日（典按契单）；原契清嘉庆拾年伍月</t>
  </si>
  <si>
    <t>出典人；契单载业户林有柱于清嘉庆拾年伍月典受赵守藻田面</t>
  </si>
  <si>
    <t>闽侯县草市都马坑地方</t>
  </si>
  <si>
    <t>田面租谷壹百柒拾斤</t>
  </si>
  <si>
    <t>原价银拾肆两，申银贰拾元(?)</t>
  </si>
  <si>
    <t>杨海武（证）</t>
  </si>
  <si>
    <t>福建国税厅筹备处典按契单，盖筹备处印、闽侯县税契印，验字第四万五千七百七十二号</t>
  </si>
  <si>
    <t>典按（可赎）</t>
  </si>
  <si>
    <t>嘉庆十年（1805）的典契到民国二年（1913）仍拿来补税验契，相隔108年。草市都马坑亦见于Folder 97。</t>
  </si>
  <si>
    <t>目录作业主林有柱、买主赵守藻；契单显示林有柱为典受人（业户），赵守藻为出典人。目录作侯官县，契单作闽侯县</t>
  </si>
  <si>
    <t>申银数额存疑</t>
  </si>
  <si>
    <t>Owner: 林有柱 [LIN youzhu] -- Buyer: 趙守藻 [ZHAO Shouzao] -- Place: 福建省侯官縣 [Fujian Sheng Houguan Xian] -- Government</t>
  </si>
  <si>
    <t>中华民国贰年拾贰月拾柒日（契单）；原契清光绪元年拾贰月</t>
  </si>
  <si>
    <t>契单载业户林万开于清光绪元年拾贰月买受林应香田地</t>
  </si>
  <si>
    <t>田地贰亩叁分零</t>
  </si>
  <si>
    <t>申银壹百零捌元，增加贰元(?)；纸价壹元叁角</t>
  </si>
  <si>
    <t>陈春雷（证）</t>
  </si>
  <si>
    <t>福建国税厅筹备处卖断契单，盖筹备处印、闽侯县税契印，验字第三万七千七百六十九号</t>
  </si>
  <si>
    <t>买主林万开另见Folder 95，两张验字号相近（三万七千余号），应为同时呈验。地点草市都马坑与Folder 96同。</t>
  </si>
  <si>
    <t>原价银栏残缺；增加数字存疑</t>
  </si>
  <si>
    <t>中华民国弍年十一月（契单）；原契清乾隆三十(?)年十(?)月</t>
  </si>
  <si>
    <t>俞德光</t>
  </si>
  <si>
    <t>契单载业户林圣魁于清乾隆年间买受俞德光田</t>
  </si>
  <si>
    <t>林圣魁</t>
  </si>
  <si>
    <t>闽清县七都土名牛栏(?)墘尾坂垄头等处</t>
  </si>
  <si>
    <t>田受种弍拾斤</t>
  </si>
  <si>
    <t>原价银壹□柒千伍百(?)，申银壹拾柒元；纸价壹元</t>
  </si>
  <si>
    <t>范宗吉(?)（证）</t>
  </si>
  <si>
    <t>福建国税厅筹备处卖断契单，盖筹备处印、闽清县税契印，验字第六〇〇八号</t>
  </si>
  <si>
    <t>乾隆年间的老契到民国二年补税，契单四至栏均以草书'○'号填空。</t>
  </si>
  <si>
    <t>目录卖主作'余德光'，契单作'俞德光'</t>
  </si>
  <si>
    <t>乾隆年份、原价数额、土名存疑</t>
  </si>
  <si>
    <t>Seller: 余德光 [YU Deguang] -- Buyer: 林聖魁 [LIN Shengkui] -- Place: 福建省閩清縣 [Fujian Sheng Minqing Xian] -- Government</t>
  </si>
  <si>
    <t>中华民国贰年拾壹月叁拾日（契单）；原契清光绪拾肆年拾月</t>
  </si>
  <si>
    <t>陈必清(?)</t>
  </si>
  <si>
    <t>契单载业户陈必泉于清光绪拾肆年拾月买受陈必清(?)屋</t>
  </si>
  <si>
    <t>闽侯县横街铺忠泽境地方</t>
  </si>
  <si>
    <t>墙(?)屋全座</t>
  </si>
  <si>
    <t>原价银叁百零贰两，申银肆百肆拾肆元；纸价壹元</t>
  </si>
  <si>
    <t>刘志潮（证）</t>
  </si>
  <si>
    <t>福建国税厅筹备处卖断契单，盖筹备处印、闽侯县税契印，验字第壹万肆千壹百叁拾玖号</t>
  </si>
  <si>
    <t>城内横街铺房屋，价格较高（302两）。</t>
  </si>
  <si>
    <t>卖主名'必清'及'墙屋'存疑</t>
  </si>
  <si>
    <t>Owner: 陳必泉 [CHEN Biquan] -- Place: 福建省閩侯縣 [Fujian Sheng Minhou Xian] -- Government</t>
  </si>
  <si>
    <t>中华民国弍年十一月（契单）；原契年月未填</t>
  </si>
  <si>
    <t>张守斐</t>
  </si>
  <si>
    <t>契单载业户张传珍受断张守斐地坪</t>
  </si>
  <si>
    <t>张传珍</t>
  </si>
  <si>
    <t>六家里(?)地方</t>
  </si>
  <si>
    <t>地基／屋地</t>
  </si>
  <si>
    <t>地坪</t>
  </si>
  <si>
    <t>申银柒拾元；纸价壹元</t>
  </si>
  <si>
    <t>福建国税厅筹备处断契单，盖筹备处印及屏南(?)县印，验字第三千七百伍六号</t>
  </si>
  <si>
    <t>契单旁加印说明：限期紧迫，钱粮处所、四至、价主、中见姓名来不及填写，概凭原契及别底存根管业。顶端另有手书批注。</t>
  </si>
  <si>
    <t>坐落地名、顶端批字难辨</t>
  </si>
  <si>
    <t>Owner: 張傳珍 [ZHANG Chuanzhen] -- Place: 福建省屏南縣 [Fujian Sheng Pingnan Xian] -- Government</t>
  </si>
  <si>
    <t>100A</t>
  </si>
  <si>
    <t>中华民国弍(?)年 月（契单）；中华民国十七年七月（验税契证）</t>
  </si>
  <si>
    <t>契单未填卖主</t>
  </si>
  <si>
    <t>陈琮细</t>
  </si>
  <si>
    <t>其他（未载）</t>
  </si>
  <si>
    <t>契单坐落、四至均空白</t>
  </si>
  <si>
    <t>原价银壹百□□，申银壹百伍拾(?)元</t>
  </si>
  <si>
    <t>国税厅筹备处印、永泰县印；民国十七年福建财政厅验税契证盖财政厅印</t>
  </si>
  <si>
    <t>1) 福建国税厅筹备处契单（类型未印），中华民国弍(?)年，业户陈琮细；2) 福建财政厅验税契证，中华民国十七年七月，业户陈琮细，契壹纸，产价壹百伍拾(?)元，注册费壹角，附加教育费贰角，纸价壹元，小契证新字第□号</t>
  </si>
  <si>
    <t>同一业产在1913、1928年两度验契；契单标题'□契单'上方类型字未印。</t>
  </si>
  <si>
    <t>价格数字多为草书，难确认</t>
  </si>
  <si>
    <t>Owner: 陳琮細 [CHEN Congxi] -- Place: 福建省永泰縣 [Fujian Sheng Yongtai Xian] -- Government</t>
  </si>
  <si>
    <t>1913 to 1928</t>
  </si>
  <si>
    <t>中华民国四年一月三十日（契单）；原契清宣统元年十一月</t>
  </si>
  <si>
    <t>林宜新</t>
  </si>
  <si>
    <t>契单载业户林久树于清宣统元年十一月典受林宜新屋</t>
  </si>
  <si>
    <t>林久树</t>
  </si>
  <si>
    <t>闽侯县马坑地方</t>
  </si>
  <si>
    <t>屋壹座</t>
  </si>
  <si>
    <t>议定价银壹百元，依限投税应纳税银壹元伍角</t>
  </si>
  <si>
    <t>李华茂（中证）</t>
  </si>
  <si>
    <t>福建财政厅契单（典契），盖福建财政厅印、闽侯县印，税字第叁万肆千伍百叁拾肆号</t>
  </si>
  <si>
    <t>典（可赎）</t>
  </si>
  <si>
    <t>契单首行'典受'，实为典契补税，税率1.5%。马坑地名又见Folder 96、97（草市都马坑）。</t>
  </si>
  <si>
    <t>目录作卖主/买主，契单实为典受关系</t>
  </si>
  <si>
    <t>Seller: 林宜新 [LIN Yixin] -- Buyer: 林久樹 [LIN Jiushu] -- Place: 福建省閩侯縣 [Fujian Sheng Minhou Xian] -- Government</t>
  </si>
  <si>
    <t>中华民国肆年叁月（契单）；原契清宣统弍年十(?)月</t>
  </si>
  <si>
    <t>陈开保</t>
  </si>
  <si>
    <t>契单载业户陈朝朋于清宣统弍年典受陈开保田</t>
  </si>
  <si>
    <t>陈朝朋</t>
  </si>
  <si>
    <t>连江县</t>
  </si>
  <si>
    <t>连江县晋竹(?)地方</t>
  </si>
  <si>
    <t>田（亩数未填）</t>
  </si>
  <si>
    <t>议定价银壹百(?)拾元，依限投税应纳税银壹元五角</t>
  </si>
  <si>
    <t>陈端辛(?)（中证）</t>
  </si>
  <si>
    <t>福建国税厅筹备处契单（典契），盖筹备处印、连江县印，税字第壹千拾陆号</t>
  </si>
  <si>
    <t>这正是Folder 91宣统二年开保典田与叔祖朝朋一契的民国补税契单，中证亦为陈端辛。由此可知Folder 90、91、105的陈姓家族在连江县。</t>
  </si>
  <si>
    <t>价银数字、坐落地名、中证名字形存疑</t>
  </si>
  <si>
    <t>Owner: 陳朝朋 [CHEN Chaopeng] -- Place: 福建省連江縣 [Fujian Sheng lianjiang Xian] -- Government</t>
  </si>
  <si>
    <t>中华民国四年十二月（契单）；原契清同治十二年十二月</t>
  </si>
  <si>
    <t>雷□畴(?)</t>
  </si>
  <si>
    <t>契单载业户雷汝知于清同治十二年典受雷□畴民田</t>
  </si>
  <si>
    <t>雷汝知</t>
  </si>
  <si>
    <t>古田县本都梅坪地方</t>
  </si>
  <si>
    <t>民田壹□</t>
  </si>
  <si>
    <t>议定价银肆拾弍两(?)，依限投税应纳税银弍元</t>
  </si>
  <si>
    <t>于凌(?)（中证）</t>
  </si>
  <si>
    <t>福建财政厅契单（典按），盖财政厅印、古田县印，税字第弍万壹百柒号；另有手书'清查证底字□号'及签押印</t>
  </si>
  <si>
    <t>同治十二年（1873）典契至民国四年补税。雷姓为闽东畲族常见姓氏，梅坪一带。</t>
  </si>
  <si>
    <t>出典人名、价银单位存疑</t>
  </si>
  <si>
    <t>Owner: 雷汝知 [LEI Ruzhi] -- Place: 福建省古田縣 [Fujian Sheng Gutian Xian] -- Government</t>
  </si>
  <si>
    <t>光绪拾捌年拾壹月 日</t>
  </si>
  <si>
    <t>长蕃（弟）</t>
  </si>
  <si>
    <t>全弟长萃(?)、长达等同立；承祖父阄分</t>
  </si>
  <si>
    <t>长忠（兄）</t>
  </si>
  <si>
    <t>本乡本厝后门头等处；另一号坐本都尾寮下边，土名墓栋</t>
  </si>
  <si>
    <t>田（根面全）＋田面</t>
  </si>
  <si>
    <t>民田根面全壹号，大小弍坵，受种柒升，受苗米肆升陆合陆勺，粮挂立在邱(?)弼盛户下；又民田面租壹号，受种壹斗，年载民租米捌斗五升五合</t>
  </si>
  <si>
    <t>田价钱伍拾仟文正</t>
  </si>
  <si>
    <t>长亮（兄）</t>
  </si>
  <si>
    <t>长芹（兄，在见）；长庄；长达；长萃</t>
  </si>
  <si>
    <t>白契后盖闽清县印；附洪宪元年财政厅典按契单，盖财政厅印、闽清县印</t>
  </si>
  <si>
    <t>年限不拘远近，备价照典契面钱文对期取赎</t>
  </si>
  <si>
    <t>1) 光绪拾捌年拾壹月长蕃典契（白契，后盖县印）；2) 福建财政厅典按契单，洪宪元年一月，业户长忠于光绪十八年十一月典受长蕃田种七升，坐落闽清县本厝后门头，中证长芹，价银伍拾元，税银弍元，税字第三千五百五十五号</t>
  </si>
  <si>
    <t>契单落款'洪宪元年一月'，使用袁世凯称帝年号，极罕见。兄弟间典田，原契另批'带不便缴付再照'。</t>
  </si>
  <si>
    <t>目录将长忠作卖主；实为长蕃出典、长忠典受。目录年代1916为契单年，原契为1892</t>
  </si>
  <si>
    <t>粮户名'邱弼盛'首字存疑</t>
  </si>
  <si>
    <t>Seller: 長忠 [Changzhong] -- Place: 福建省閩清縣 [Fujian Sheng Minqing Xian] -- Government</t>
  </si>
  <si>
    <t>中华民国丁巳陆年拾壹月 日</t>
  </si>
  <si>
    <t>维衜（赠侄孙）</t>
  </si>
  <si>
    <t>原祖上遗下，卖与赠叔祖</t>
  </si>
  <si>
    <t>赠叔祖公勤(?)仪(?)</t>
  </si>
  <si>
    <t>坐址本墩(?)墩头，土名竹篮下</t>
  </si>
  <si>
    <t>茹（番薯）种园壹号，载藤壹千伍百余根；西至路、东至青元茹种园、南至良良园、北至坝为界</t>
  </si>
  <si>
    <t>番银弍拾柒员正，每员陆钱捌分重</t>
  </si>
  <si>
    <t>陈端辛（代笔兼中）</t>
  </si>
  <si>
    <t>维寿（胞弟，在见）；维炎（胞弟，在见）；长善（从命男）</t>
  </si>
  <si>
    <t>陈端辛</t>
  </si>
  <si>
    <t>卖断，不敢言说取赎尽贴；听叔祖择吉起盖</t>
  </si>
  <si>
    <t>代笔中人陈端辛与Folder 90、91、102同一人，跨1909—1917年。卖园后买方可'择吉起盖'，说明拟作坟或建屋。</t>
  </si>
  <si>
    <t>买主名、土名首字存疑</t>
  </si>
  <si>
    <t>Seller: 維衜 [Weidao] -- Personal</t>
  </si>
  <si>
    <t>中华民国□年拾弍月吉日（据Folder 108官典契立契年月民国六年十二月推定为民国六年）</t>
  </si>
  <si>
    <t>陈灿祥</t>
  </si>
  <si>
    <t>全胞弟赓祥、侄大焜(?)同立；承父在日手置</t>
  </si>
  <si>
    <t>吴右岩</t>
  </si>
  <si>
    <t>闽邑横街铺忠泽境叶衙地方</t>
  </si>
  <si>
    <t>墙屋全座，坐北朝南伍柱肆榈排，前天井，四面风火墙；官丈计肆丈弍尺；连厨房、花门、楼坪、空地等，四至载明</t>
  </si>
  <si>
    <t>典价台伏洋柒佰员正，外加修理银水弍拾壹员，共成柒佰弍拾壹员</t>
  </si>
  <si>
    <t>吴子仁（中友）</t>
  </si>
  <si>
    <t>吴氏（母，知契）；兆祥（堂兄，在见）；陈细弟（公亲）；吴维清（公亲）</t>
  </si>
  <si>
    <t>陈九龄</t>
  </si>
  <si>
    <t>盖县税契印数方，契内注'该契已□税'；骑缝编号</t>
  </si>
  <si>
    <t>约伍年为限，限满备价取赎；未赎前再加展限伍年</t>
  </si>
  <si>
    <t>此屋系其父于光绪拾叁年(?)用价银典断，旧契'陈必清典断契弍纸'一并缴付——与Folder 99契单中陈必泉于光绪十四年买受横街铺忠泽境墙屋直接相关。母亲吴氏知契，典主亦姓吴。</t>
  </si>
  <si>
    <t>目录买主作'吴右严？'，契文作'吴右岩'；目录缺年代，应为1917</t>
  </si>
  <si>
    <t>本纸年份字被遮，依Folder 108官契推定</t>
  </si>
  <si>
    <t>Seller: 陳燦祥 [CHEN Canxiang] -- Buyer: 吳右嚴？ [WU Youyan?] -- Place: 福建省閩邑 [Fujian Sheng Min Xian] -- Government</t>
  </si>
  <si>
    <t>中华民国陆年至拾捌(?)年（各张不同）</t>
  </si>
  <si>
    <t>永泰县知事（县政府）为征收钱粮事所发</t>
  </si>
  <si>
    <t>黄远容、黄同华、黄同德等（纳户）</t>
  </si>
  <si>
    <t>永泰县□都□甲</t>
  </si>
  <si>
    <t>地丁钱粮完纳凭证，未载田亩坐落</t>
  </si>
  <si>
    <t>各张地丁银数不等，如肆钱正、贰钱正、壹钱、玖分</t>
  </si>
  <si>
    <t>永泰县印（大方印）、骑缝'□字第□号'、'倘有重完错误限十日内赴柜驳改'红色戳记</t>
  </si>
  <si>
    <t>共25张永泰县'纳户执照'（地丁银完纳收据），木刻印格、手填年份与银数，盖永泰县印及'倘有重完错误，限十日内赴柜驳改'红戳。可辨年份含民国陆年（1917，印刷年款）、拾贰/拾叁年、十四年、十七年、拾捌(?)年等；纳户有黄远容（多张）、黄同华、黄同德等，银数如肆钱正、贰钱正、壹钱、玖分；另有手写编号如'三千五百八十'</t>
  </si>
  <si>
    <t>同一黄姓家族在永泰县连续多年完粮的收据串，可追踪户名分化（远容→同华、同德）。与Folder 110同为永泰黄姓纳户执照。</t>
  </si>
  <si>
    <t>目录列黄国兴、黄国义，在我看到的页面里没能确认这两个名字；年份上限可能晚于1926</t>
  </si>
  <si>
    <t>部分页面年份、银数为草书；页7—20只粗略浏览，户名与年份未逐张核对</t>
  </si>
  <si>
    <t>Owner: 黃遠容 [HUANG Yuanrong] 黃同華 [HUANGTonghua] 黃同德 [HUANG Tongde] 黃國興[HUANG Guoxing] and 黃國義[HUANG Guoyi] -- Place: 福建省永泰縣 [Fujian Sheng Yongtai Xian] -- Government</t>
  </si>
  <si>
    <t>1917 to 1926</t>
  </si>
  <si>
    <t>中华民国七年四月廿六日（官契纸）；立契年月民国六年十二月</t>
  </si>
  <si>
    <t>出典人</t>
  </si>
  <si>
    <t>吴（承典人，即吴右岩）</t>
  </si>
  <si>
    <t>横街铺茶叶衙(?)</t>
  </si>
  <si>
    <t>墙屋壹座</t>
  </si>
  <si>
    <t>典价柒百元，应纳税额弍拾壹元</t>
  </si>
  <si>
    <t>吴维清</t>
  </si>
  <si>
    <t>闽侯县官印数方、'缮契核对 陶筱泉'红印、骑缝'□字第□号 完税银弍拾壹元'</t>
  </si>
  <si>
    <t>即Folder 106民国六年陈灿祥典屋与吴右岩一契的官契版本（税率3%）；契纸下半印'例则摘要'。</t>
  </si>
  <si>
    <t>目录作卖主/买主，实为典契</t>
  </si>
  <si>
    <t>坐落'茶叶衙'末字存疑</t>
  </si>
  <si>
    <t>Seller: 陳燦祥 [CHEN Canxiang] -- Buyer: 吳 [WU] -- Place: 福建省閩侯縣 [Fujian Sheng Minhou Xian ] -- Government</t>
  </si>
  <si>
    <t>108A</t>
  </si>
  <si>
    <t>中华民国柒年玖月吉日</t>
  </si>
  <si>
    <t>陈吴氏</t>
  </si>
  <si>
    <t>陈门吴氏，寡妇；与男灿祥（远游，母代押）、赓祥及孙大焜同立；屋系故夫于清光绪十三四年间用价银先后典断得陈必清</t>
  </si>
  <si>
    <t>闽邑横街铺忠泽境茶叶衙(?)地方</t>
  </si>
  <si>
    <t>墙屋全座，坐北朝南，门窗户扇一切俱全；连屋后空地一并</t>
  </si>
  <si>
    <t>凑卖断价大番银叁百员正（官契：原典柒百元，凑断叁百元）</t>
  </si>
  <si>
    <t>吴维清（中友）</t>
  </si>
  <si>
    <t>兆祥（夫胞侄，在见）；友祥（夫胞侄，在见）；大焜（孙男）；赓祥（男，命见）；颜德和（公亲）；陈细弟（公亲）</t>
  </si>
  <si>
    <t>白契后盖闽侯地方法院不动产登记印；民国十二年卖契官纸盖闽侯县印、'新领契纸'及闽侯税契局印，完税叁拾玖元</t>
  </si>
  <si>
    <t>凑卖断，永不得言赎言凑</t>
  </si>
  <si>
    <t>1) 民国七年玖月陈吴氏立凑卖断契（白契，后盖'闽侯地方法院不动产登记'红印，登记日期民国廿一年十二月九日）；2) 民国十二年一月八日'卖契'官契纸（盖'新领契纸'印），买主吴右岩，不动产墙屋，原典已税柒百元、凑断叁百元，应纳税额叁拾玖元，立契民国七年九月，卖主陈吴氏，中人吴维清，坐落横街铺茶叶衙，面积壹座</t>
  </si>
  <si>
    <t>契文说明因负债被债权人控告到地方初级厅、判决后追呼急迫而凑断，典期未满就转为卖断。与Folder 99、106、108构成同一墙屋从光绪到民国的完整链条。</t>
  </si>
  <si>
    <t>坐落'茶叶衙'及部分在见人身份字迹存疑</t>
  </si>
  <si>
    <t>Seller: 陳吳氏 [CHEN Wushi] -- Buyer: 吳右岩 [WU Youyan] -- Place: 福建省閩侯縣 [Fujian Sheng Minhou Xian] -- Personal</t>
  </si>
  <si>
    <t>1918 to 1932</t>
  </si>
  <si>
    <t>民国九年元月吉日</t>
  </si>
  <si>
    <t>林张氏</t>
  </si>
  <si>
    <t>林门张氏，弟妇；田系夫在日阄分份下</t>
  </si>
  <si>
    <t>林钦祥（夫伯）</t>
  </si>
  <si>
    <t>本洋土名后坞地方</t>
  </si>
  <si>
    <t>田（面根全）</t>
  </si>
  <si>
    <t>民洋田面根全壹号，计丈□分零；东、西、南至长意桔树，北至乾茂田</t>
  </si>
  <si>
    <t>价钱叁拾弍元正</t>
  </si>
  <si>
    <t>月生</t>
  </si>
  <si>
    <t>仕修（翁，知契）；久水（胞伯，在见）；久善（在见）</t>
  </si>
  <si>
    <t>赵允坤</t>
  </si>
  <si>
    <t>贴中华民国印花税票一枚，盖县印一方</t>
  </si>
  <si>
    <t>寡妇把田卖给丈夫的兄长，公公'知契'。内注：原契夹号不便缴付；土埕长意西片坪下弍柄锄听买主挑土运田。</t>
  </si>
  <si>
    <t>计丈数字存疑</t>
  </si>
  <si>
    <t>Seller: 張氏 [ZHANG] -- Buyer: 林欽祥 [LIN Qinxiang] -- Place: 福建省閩侯縣 [Fujian Sheng Minhou Xian] -- Government</t>
  </si>
  <si>
    <t>中华民国十四年等（各张不同）</t>
  </si>
  <si>
    <t>永泰县知事为征收钱粮事所发</t>
  </si>
  <si>
    <t>黄云邨(?)、黄汝勷</t>
  </si>
  <si>
    <t>地丁钱粮完纳凭证</t>
  </si>
  <si>
    <t>地丁银数不等</t>
  </si>
  <si>
    <t>永泰县印、'倘有重完错误限十日内赴柜驳改'戳</t>
  </si>
  <si>
    <t>共7页：永泰县'纳户执照'多张，纳户黄云邨(?)（地丁银肆钱、柒钱叁分、肆钱等）、黄汝勷（壹钱、壹钱捌分(?)等），可辨年份含民国十四年等；另有1页手写纸条（'□容 廿□ 卅千(?)'）</t>
  </si>
  <si>
    <t>与Folder 107格式相同，同属永泰黄姓家族的完粮收据。</t>
  </si>
  <si>
    <t>目录户名作'黄云村?'，图像草书似'黄云邨／郎'</t>
  </si>
  <si>
    <t>户名第三字及各张年份数字存疑</t>
  </si>
  <si>
    <t>Owner: 黃雲村? [HUANG Yuncun] and 黃汝勷 [HUANG Rurang] -- Place: 福建省永泰縣 [Fujian Sheng Yongtai Xian] -- Government</t>
  </si>
  <si>
    <t>1920 to 1925</t>
  </si>
  <si>
    <t>民国拾年至民国拾伍年（各张分别）</t>
  </si>
  <si>
    <t>林仁典</t>
  </si>
  <si>
    <t>纳户（地丁银纳税人）；非交易文书</t>
  </si>
  <si>
    <t>永泰县知事（征收钱粮）</t>
  </si>
  <si>
    <t>永泰县□都</t>
  </si>
  <si>
    <t>地丁银纳税收据，未载地块细节</t>
  </si>
  <si>
    <t>各年完纳地丁银数钱至数分不等（具体数额多处被红印遮盖）</t>
  </si>
  <si>
    <t>每张均盖永泰县官方朱印及骑缝号印（‘□字第□号’），木刻版印执照</t>
  </si>
  <si>
    <t>共4张永泰县《纳户执照》（地丁银完纳收据）：①民国拾年（1921）执照，纳户林仁典，银额约□分□厘（? 字迹压印）；②民国拾□年执照，知事黄□，林仁典完银壹钱□□（?）；③中华民国拾伍年（1926?）执照，林仁典完银□钱□□（?），附‘如有重完错误限十日内到柜驳改’条款；④民国拾壹年（1922）执照，知事钟□，林仁典完银叁(?)分壹厘□毛，施字第二千七百五十号</t>
  </si>
  <si>
    <t>1922年执照编号施字第二千七百五十号，与同批黄汝勷（Folder 117）执照施字第二千七百四十八号相邻，二者同日在同一柜完纳，显示两户同属一个征收区。同一纳户连续数年的完粮凭证被保存在一起。</t>
  </si>
  <si>
    <t>各张年份数字与银额多被红色骑缝印覆盖，第2、3张年份（拾□年／拾伍年）及知事姓氏存疑</t>
  </si>
  <si>
    <t>Owner: 林仁典等 [LIN Rendian] etc. -- Place: 福建省永泰縣 [Fujian Sheng Yongtai Xian] -- Government</t>
  </si>
  <si>
    <t>1920 to 1926</t>
  </si>
  <si>
    <t>中华民国玖年至中华民国拾伍年</t>
  </si>
  <si>
    <t>黄同华</t>
  </si>
  <si>
    <t>地丁银完纳收据，未载地块细节</t>
  </si>
  <si>
    <t>伍分伍厘柒毛（1920）、壹分捌厘捌毛（1924?）、叁分陆厘〇毛、叁钱正等</t>
  </si>
  <si>
    <t>各张盖永泰县朱印、‘如有重完错误限十日内到柜驳改’朱戳及骑缝编号</t>
  </si>
  <si>
    <t>共5张永泰县《纳户执照》：①中华民国玖年（1920）地丁银，知事金(?)，黄同华完银伍分伍厘柒毛，维字第七千八百□号；②民国拾叁年（1924）地丁银，黄同华完银壹分捌厘捌毛(?)；③民国拾□年地丁银，黄同华完银叁分陆厘〇毛(?)；④中华民国拾伍年（1926）地丁银，黄同华完银叁钱正(?)；⑤中华民国拾□年地丁银，黄同华完银□钱正（?）</t>
  </si>
  <si>
    <t>同一纳户黄同华跨1920—1926年的多年完粮执照；同批Folder 127亦为黄同华之件。早期执照为‘民国□年’简式，后期改为‘中华民国’全称版式。</t>
  </si>
  <si>
    <t>第2、3、5张年份数字及银额部分被印章覆盖，存疑</t>
  </si>
  <si>
    <t>Owner: 黃同華 [HUANG Tonghua] -- Place: 福建省永泰縣 [Fujian Sheng Yongtai Xian] -- Government</t>
  </si>
  <si>
    <t>中华民国玖年；民国二十一年</t>
  </si>
  <si>
    <t>陈明</t>
  </si>
  <si>
    <t>粮户；非交易文书</t>
  </si>
  <si>
    <t>闽侯县政府（征收）</t>
  </si>
  <si>
    <t>闽侯县廿三都</t>
  </si>
  <si>
    <t>地丁银及粮米完纳收据，未载地块</t>
  </si>
  <si>
    <t>地丁银壹钱正；粮米玖升正；粮米柒合捌勺；壹斗正（1932）</t>
  </si>
  <si>
    <t>闽侯县朱印；票头印有附加费、征收费说明（每两加收若干文）</t>
  </si>
  <si>
    <t>共4张：①中华民国玖年（1920）闽侯县征收地丁串票（‘收据’），伍柜，粮户陈明完地丁银壹钱正，侯字第七千□号；②中华民国玖年闽侯县粮米收据，陈明完粮米玖升正，侯字第四百八号；③中华民国玖年闽侯县粮米收据，陈明完粮米柒合捌勺，侯字第二万乙千九百八号；④民国二十一年（1932）闽侯县田赋收据，廿三都，粮户陈明，壹斗正（粮米?），征收员□</t>
  </si>
  <si>
    <t>票头刻印说明地丁每两另加征收费、附加税若干文，可见民初附加税制度。1920与1932两种不同版式。</t>
  </si>
  <si>
    <t>目录作‘福建省闽县’，票面实为‘闽侯县’（1913年闽县、侯官县已合并）</t>
  </si>
  <si>
    <t>第1张号数、第4张壹斗所指税目存疑</t>
  </si>
  <si>
    <t>Owner: 陳明 [CHEN Ming] -- Place: 福建省閩縣 [Fujian Sheng Min Xian] -- Government</t>
  </si>
  <si>
    <t>1920 to 1932</t>
  </si>
  <si>
    <t>民国伍年拾壹月日（官契：中华民国十年十二月十二日）</t>
  </si>
  <si>
    <t>林祥德</t>
  </si>
  <si>
    <t>本乡东(?)份住人，承父阄分份下屯田</t>
  </si>
  <si>
    <t>张经炎（碓坵? 人）</t>
  </si>
  <si>
    <t>本地方，土名柯岭墘等处</t>
  </si>
  <si>
    <t>屯田壹号，根面全田（田根＋田面），受种捌斛(?)</t>
  </si>
  <si>
    <t>小洋肆(?)佰角正（官契登记卖价肆拾元）</t>
  </si>
  <si>
    <t>祥钦</t>
  </si>
  <si>
    <t>弟祥寿（在见）；兄祥洪（在见）</t>
  </si>
  <si>
    <t>祥钦（代字兼中）</t>
  </si>
  <si>
    <t>白契上钤县印（骑缝）；附闽侯县公署官契纸一张，税额弍元肆角（契价6%），民国十年补税，契首红戳声明外国人租用不动产须用此纸</t>
  </si>
  <si>
    <t>卖断根面全田，永远管业，子孙不敢别生枝节</t>
  </si>
  <si>
    <t>①白契：民国伍年拾壹月林祥德立卖断根面全田契；②官契纸：闽侯县《卖契》（例则摘要版），中华民国十年十二月十二日县给，买主张经炎，不动产种类屯田，卖价肆拾元，应纳税额弍元肆角，原契壹张，立契民国五年十一月，坐落柯岭墘，面积受种捌斛(?)，卖主林祥德，中人祥钦</t>
  </si>
  <si>
    <t>1916年立白契，1921年才补领官契纸投税，官契把‘小洋肆佰角’折登为肆拾元。契左侧另批‘永远为业’。</t>
  </si>
  <si>
    <t>目录日期1921为补税官契日期，原契立于民国五年（1916）</t>
  </si>
  <si>
    <t>‘小洋肆佰角’之‘肆’、受种单位‘斛’及‘东份’存疑</t>
  </si>
  <si>
    <t>Seller: 林祥德 [LIN Xiangde] -- Buyer: 張經炎 [ZHANG Jingyan] -- Place: 福建省閩侯縣 [Fujian Sheng Minhou Xian] -- Government</t>
  </si>
  <si>
    <t>民国拾年五月日</t>
  </si>
  <si>
    <t>谢祀初</t>
  </si>
  <si>
    <t>粮户（□都□甲户），非交易文书</t>
  </si>
  <si>
    <t>古田县知事吴□</t>
  </si>
  <si>
    <t>古田县五(?)都</t>
  </si>
  <si>
    <t>旧管□屉册载建屯（?）若干，开除□，实在建屯，新收空白</t>
  </si>
  <si>
    <t>以上合应征银弍钱捌分</t>
  </si>
  <si>
    <t>古田县朱印、菱形戳（‘肆’‘亩’等数额戳），蓝色木刻花边版式《领给汇造便民易知单》</t>
  </si>
  <si>
    <t>蓝印花边的‘便民易知单’，用旧管、新收、开除、实在四柱格式登记粮户田额，按‘推收’原则户籍过割。</t>
  </si>
  <si>
    <t>菱形戳记数额（肆?亩?）及都号存疑</t>
  </si>
  <si>
    <t>Owner: 謝祀初 [XIE Qichu] -- Place: 福建省古田縣 [Fujian Sheng Gutian Xian] -- Government</t>
  </si>
  <si>
    <t>绝卖契</t>
  </si>
  <si>
    <t>民国岁次辛酉拾年辰月日</t>
  </si>
  <si>
    <t>姚望兑、姚望駀</t>
  </si>
  <si>
    <t>泉晋南门外拾叁都钱仓乡中厝份人，兄弟二人同立，承父祖应分</t>
  </si>
  <si>
    <t>姚望念（?）（堀头份）</t>
  </si>
  <si>
    <t>晋江县</t>
  </si>
  <si>
    <t>泉晋南门外拾叁都钱仓乡，土名井脚巷埕</t>
  </si>
  <si>
    <t>花向厝地连花向角间厝地二间壹所；四至：东至望漏东厅地、西至望记大厝东厅滴水、南至望记厝仔地、北至望兑直头巷，此巷俱各通行；听银主起造厦屋</t>
  </si>
  <si>
    <t>大龙银陆拾大员正</t>
  </si>
  <si>
    <t>姚端仓(?)</t>
  </si>
  <si>
    <t>姚端昇(?)（知见人）</t>
  </si>
  <si>
    <t>陈奕谋（代书人）</t>
  </si>
  <si>
    <t>卖尽断根底，不敢言底言赎</t>
  </si>
  <si>
    <t>本件出自泉州晋江，非福州地区。同族间交易（卖主、买主、中人均姓姚），契文声明与房亲伯叔兄弟侄无干，银主可起造大小高低厦屋。</t>
  </si>
  <si>
    <t>目录着录为Government，实为私人白契；目录未记地点</t>
  </si>
  <si>
    <t>买主‘姚望念’及中人、知见人名末字存疑</t>
  </si>
  <si>
    <t>Seller: 姚望兌 [YAO Wangdui] and 姚望駀 [YAO Wangyou] -- Government</t>
  </si>
  <si>
    <t>民国拾壹年十二(?)月十二(?)日</t>
  </si>
  <si>
    <t>黄汝勤</t>
  </si>
  <si>
    <t>纳户，非交易文书；票面墨书作黄汝勤</t>
  </si>
  <si>
    <t>永泰县知事钟□</t>
  </si>
  <si>
    <t>地丁银完纳收据</t>
  </si>
  <si>
    <t>完银捌分壹厘〇毛</t>
  </si>
  <si>
    <t>永泰县朱印、骑缝号印，施字第二千七百四十八号</t>
  </si>
  <si>
    <t>编号施字第二千七百四十八号，与林仁典（Folder 111）1922年执照施字第二千七百五十号仅差两号，系同一天同柜开具。</t>
  </si>
  <si>
    <t>目录作黄汝勷，票面墨书为黄汝勤</t>
  </si>
  <si>
    <t>月日数字及银额首字（捌?）存疑</t>
  </si>
  <si>
    <t>Owner: 黃汝勷 [HUANG Rurang] -- Place: 福建省永泰縣 [Fujian Sheng Yongtai Xian] -- Government</t>
  </si>
  <si>
    <t>粮单／税单（粮户执照）</t>
  </si>
  <si>
    <t>6 南京国民政府（1928-1948）</t>
  </si>
  <si>
    <t>中华民国拾柒年分至拾玖年分（另有拾弍(?)年分与弍拾(?)年分各一）</t>
  </si>
  <si>
    <t>县署征收粮银所发执照；户名（粮户）黄乞容</t>
  </si>
  <si>
    <t>黄乞容（粮户）</t>
  </si>
  <si>
    <t>□□县□□都（木刻表头模糊，未能辨认）</t>
  </si>
  <si>
    <t>其他（田赋粮额）</t>
  </si>
  <si>
    <t>粮户执照，记载地丁粮额：一笔'钱贰正'，一笔'钱弍分肆(?)厘0毛'；每照印有'应征收地丁事'、'共结收大洋'、'每两加价'、'券费大洋'等字样</t>
  </si>
  <si>
    <t>粮额：钱贰正；钱弍分肆(?)厘0毛；第8张〤(?)分捌(?)厘0毛</t>
  </si>
  <si>
    <t>每张均盖大方形红色县印（印文模糊）及骑缝印；第3、7张有红色'均'、'许'小戳；第8张有红色说明戳（'一十日内……如逾期……'）及'领'字骑缝印</t>
  </si>
  <si>
    <t>共8张粮户执照（均为户名黄乞容的完粮收据）：第1、2张年分处为印刷体'弍拾'（?民国二十年分，存疑），第1张额'钱贰□'、第2张'钱弍分肆(?)厘0毛'；第3张民国拾玖年分，钱贰正；第4张拾玖年分，钱弍分肆(?)厘0毛；第5张拾捌年分，钱贰正；第6张拾捌年分，钱弍分肆(?)厘0毛；第7张拾柒年分，钱贰正；第8张为另一版式的'粮户执照'，民国拾弍(?)年分，落款印刷'民国拾壹年十二月 日'，额'〤(?)分捌(?)厘0毛'。可见每年两笔粮额（钱贰与钱弍分肆厘）各开一照。</t>
  </si>
  <si>
    <t>同一粮户历年完粮执照成套保存；年分为手写填入（拾柒、拾捌、拾玖），覆在印刷的年分字样上，而第1、2张未填写，印刷字样似为'弍拾'。木刻粗劣、墨迹晕染严重。</t>
  </si>
  <si>
    <t>目录日期1923–1930；第1、2张印刷年分似为'弍拾'（1931），若属实则超出目录范围（存疑）。图像中未能直接辨认'永泰'字样。</t>
  </si>
  <si>
    <t>第1、2张年分'弍拾'是否为印刷而非实际年分存疑；'肆'为草书（亦可能为'捌'）；第8张年分'拾弍'及粮额数字存疑；表头都图名、县名无法辨读；执照编号未录</t>
  </si>
  <si>
    <t>Owner: 黃乞容等 [HUANG Qirong] etc. -- Place: 福建省永泰縣 [Fujian Sheng Yongtai Xian] -- Government</t>
  </si>
  <si>
    <t>1923 to 1930</t>
  </si>
  <si>
    <t>118A</t>
  </si>
  <si>
    <t>卖契（附回赎条款，实属典卖）</t>
  </si>
  <si>
    <t>民国拾弍年拾壹月 日</t>
  </si>
  <si>
    <t>圣余（圣余）</t>
  </si>
  <si>
    <t>承父手置佃田；知契母郑氏（画押），仝弟圣道（画押）</t>
  </si>
  <si>
    <t>西房众（西房衆）</t>
  </si>
  <si>
    <t>本乡地方，土名桂尾等处</t>
  </si>
  <si>
    <t>佃田壹号，其田壹坵，受种壹亩正，递年载租谷壹佰陆拾陆零半筋正，纳在登乾处</t>
  </si>
  <si>
    <t>时值价钱陆拾肆仟零伍佰文正</t>
  </si>
  <si>
    <t>宗叔爱炜（代字中）</t>
  </si>
  <si>
    <t>母郑氏（知契）；弟圣道（仝）</t>
  </si>
  <si>
    <t>契面骑缝盖红色官印；附验税契证（中华民国十九年九月，永泰县，新字第三五六〇号，逾限第九期），贴印花税票三枚，纸价叁元玖角玖分、注册费弍角(?)；副证盖'契已验税'</t>
  </si>
  <si>
    <t>约定伍年外限满之日备价照契面钱文月期取赎；如未赎仍付西房照旧耕作纳租；不拘期限，原主可取赎</t>
  </si>
  <si>
    <t>1）卖契：民国拾弍年拾壹月，圣余卖佃田与西房众；2）验税契证（福建财政厅格式，永泰县）：中华民国十九年九月给业户西房众，逾限第九期，新字第三五六〇号，贴印花税票三枚；3）副证'契已验税'：一九年九月，永泰县，业户西房众</t>
  </si>
  <si>
    <t>契名'卖契'，实为附五年回赎期的典卖；买主为宗族房份'西房众'，验税证将契据记为'典(?)契'。契背有'大进'二字；尾署'信来手'(?)</t>
  </si>
  <si>
    <t>目录卖主写作'圣余'，契文作'圣余'</t>
  </si>
  <si>
    <t>租谷数'壹佰陆拾陆零半筋'中的'零半'存疑；验契证中'典(?)契'、产价'陆拾伍(?)元'、纸价数额存疑；'信来手'存疑</t>
  </si>
  <si>
    <t>Seller: 聖余 [SHENG Yu] -- Buyer: 西房眾 [Xi Fang Zhong] -- Place: 福建省永泰縣 [Fujian Sheng Yongtai Xian] -- Personal</t>
  </si>
  <si>
    <t>民国十三年三月（据官契纸）</t>
  </si>
  <si>
    <t>王三妹</t>
  </si>
  <si>
    <t>承继父遗下民屋；契中自称'妹'；知契有□父王□（画押）</t>
  </si>
  <si>
    <t>陈军汉（陈军汉）</t>
  </si>
  <si>
    <t>福州闽侯县辖内文山铺秋龙社下底埕地方（官契纸作文山铺秋龙巷）</t>
  </si>
  <si>
    <t>民屋一所，坐北向南，弍柱一榈，左边房屋一间、右边廊衕一小间，共成叁间，门窗户扇及椽桷地坪破旧等全；四至：前天井、后墙、左廊衕、右王家，上至椽瓦、下至地基</t>
  </si>
  <si>
    <t>典价银台伏壹佰弍拾伍元正，又贴修理费壹拾元，合共台伏壹佰叁拾伍元正</t>
  </si>
  <si>
    <t>林武钦</t>
  </si>
  <si>
    <t>王斌斌（在见）；王春官（在见）；□父王□（知契）</t>
  </si>
  <si>
    <t>契面有县印（方形红印）；官颁典契纸，应纳税额叁元柒角伍分，有'附捐壹元'红戳及'清查……'红字戳</t>
  </si>
  <si>
    <t>约定五年为限，期满之日听妹筹备原典银台伏壹佰叁拾伍元取赎，不得半途言赎</t>
  </si>
  <si>
    <t>1）典屋契约：王三妹典屋与陈军汉（契尾年月部分残缺）；2）官颁'典'字契纸（典契纸）：承典人陈军汉，不动产种类厝屋，典价壹百弍拾伍元，应纳税额叁元柒角伍分，立契年月民国十三年三月，坐落文山铺秋龙巷，面积弍柱壹榈；盖有'契纸每张加收善……附捐壹元'红戳</t>
  </si>
  <si>
    <t>契末注'标明郭宗仲老原契遗失'；地点秋龙巷亦见于其他闽县文书。另一件（Folder 119A）为同一交易的官契纸与验契证。</t>
  </si>
  <si>
    <t>目录作卖契（Seller/Buyer），图像为典契</t>
  </si>
  <si>
    <t>契约本文末尾的立契日期未见（纸张残缺）；'弍柱一榈'之'榈'存疑；知契人名'王□'不清；王三妹性别据名字与自称推断</t>
  </si>
  <si>
    <t>Seller: 王三妹 [WANG Sanmei] -- Buyer: 陳軍漢 [CHEN Junhan] -- Place: 福建省閩侯縣 [Fujian Sheng Minhou Xian] -- Government</t>
  </si>
  <si>
    <t>119A</t>
  </si>
  <si>
    <t>中华民国十三年六月十日（官契纸）；验契证中华民国十七年一月</t>
  </si>
  <si>
    <t>王三妹（出典人）</t>
  </si>
  <si>
    <t>陈军汉（陈军汉）（业户）</t>
  </si>
  <si>
    <t>秋龙巷（副证）</t>
  </si>
  <si>
    <t>典契所载厝屋；副证记屋壹座(?)</t>
  </si>
  <si>
    <t>产价壹百弍拾伍元；验契纸价壹元伍角，注册费壹角，附加教育费贰角</t>
  </si>
  <si>
    <t>闽侯县契税局印；'新领契纸'红戳；福建财政厅验契关防多处；副证'契已验税'；印花税票二枚；民国十七年验契</t>
  </si>
  <si>
    <t>1）福建财政厅验税契证：中华民国十七年一月给业户陈军汉，呈缴已税典契壹纸，产价壹百弍拾伍元，纳纸价壹元伍角、注册费壹角、附加教育费贰角，新字第□四百五十三号；监印员蔡滋(?)、校对员张景；贴印花税票二枚；2）副证'契已验税'：中华民国十七年一月六日给，□□县秋龙巷方门牌□号，业户陈军汉，屋壹座(?)；3）'新领契纸'官契纸：中华民国十三年六月十日，出典人王三妹，中人林武钦，盖闽侯县契税局印</t>
  </si>
  <si>
    <t>与Folder 119为同一宗典屋交易（王三妹→陈军汉，中人林武钦）：民国十三年领官契纸，民国十七年再经福建财政厅验契。官契纸'契则摘要'印有匿报契价罚金条款。</t>
  </si>
  <si>
    <t>目录作卖契，实为典契的官契纸与验契证；目录地名误植为'福建声闽侯县'</t>
  </si>
  <si>
    <t>验契证编号首位、监印员名'蔡滋□'、副证门牌号不清</t>
  </si>
  <si>
    <t>Seller: 王三妹 [WANG Sanmei] -- Buyer: 陳軍漢 [CHEN Junhan] -- Place: 福建聲閩侯縣 [Fujian Sheng Minhou Xian] -- Government</t>
  </si>
  <si>
    <t>1924 to 1928</t>
  </si>
  <si>
    <t>合同（公约字）</t>
  </si>
  <si>
    <t>民国拾叁年叁月初八(?)日</t>
  </si>
  <si>
    <t>林久兴、林久澍、林可鉴</t>
  </si>
  <si>
    <t>团体</t>
  </si>
  <si>
    <t>林氏福、禄、寿三房（祖父万开公、万钦公、万拱公三兄弟于光绪十七年八月分为三房，各执阄书）；久澍系可琼庶出长子，由祖母杨氏及嫡母杨氏抚养</t>
  </si>
  <si>
    <t>其他（宗族内部约定：婚娶费用分担及各房产业自由处分）</t>
  </si>
  <si>
    <t>因（久）兴年已成人、理宜娶室，族戚劝澍认助台伏壹百弍拾元，次房可昌另认台伏伍拾元，三房可鉴另认台伏伍拾元，以为兴完娶之用；约定澍认助之款俟本年旧历十二月底清付兴收；光绪十七年八月阄书所分各房产业各管各业，听凭自由买卖，不得别生枝节</t>
  </si>
  <si>
    <t>认助款：台伏壹百弍拾元（澍）＋伍拾元（次房可昌）＋伍拾元（三房可鉴）</t>
  </si>
  <si>
    <t>澍嫡母杨氏（长房，画押）；久澍（长房）；可昌、可第、久兴、久年（次房）；可鉴（三房）；万棋（族人）；万顺（乡族长）；可林、可为、可建、可泉、久信、可鋑(?)（族人／族邻）；王友增、李茂炳（懿戚）；刘庆云、陈仲良（公亲）；陈其清（经见）；陈依铭（族邻?）</t>
  </si>
  <si>
    <t>王子文</t>
  </si>
  <si>
    <t>文书揭示庶出子身份与抚养经过（生母另居别处、出经，由祖母、嫡母领回抚养），并以宗族公约方式分摊婚娶费用；末注'内涂销合字一字，又添注悉字一字'。</t>
  </si>
  <si>
    <t>目录作'Seller'，实为宗族合约而非卖契；目录'林可鉴'，契文作'可监'</t>
  </si>
  <si>
    <t>日期'初八'存疑；'出经'含义及部分署名人身份归属（族邻、懿戚的对应）存疑；'可鋑'存疑</t>
  </si>
  <si>
    <t>Seller: 林久興 [LIN Jiuxing] 林可鑒 [LIN Kejian] and 林久澍 [LIN Jiushu]-- Personal</t>
  </si>
  <si>
    <t>卖契（官颁卖契纸）</t>
  </si>
  <si>
    <t>中华民国十叁年十一月廿五日（契纸）；立契年月：乾隆二十四年三月</t>
  </si>
  <si>
    <t>陈敬侯</t>
  </si>
  <si>
    <t>卖主</t>
  </si>
  <si>
    <t>子秀</t>
  </si>
  <si>
    <t>高洲三垱(?)</t>
  </si>
  <si>
    <t>不动产种类：民田；面积弍亩(?)；四至栏空白</t>
  </si>
  <si>
    <t>卖价弍拾肆(?)两正</t>
  </si>
  <si>
    <t>陆振盛</t>
  </si>
  <si>
    <t>古田契税局戳（说明官契纸用途）、'新领契纸'红戳、'奉令自拾弍年拾月二十一日起契纸加收善后附捐大洋壹元正'红戳；古田县印多方；应纳税额叁元</t>
  </si>
  <si>
    <t>仅官颁'卖契'契纸一张（新领契纸），左缘有骑缝'福(?)字第□号完税银叁元'字样；契纸所载原立契年月为乾隆二十四年三月，即以老契补领官契纸</t>
  </si>
  <si>
    <t>契纸立契年月栏填'乾隆二十四年三月'，民国十三年为一件乾隆旧契补税换领官契纸；买主仅书'子秀'。</t>
  </si>
  <si>
    <t>卖价'肆'为草书存疑；坐落'高洲三垱'及面积'弍亩'存疑；买主姓氏缺</t>
  </si>
  <si>
    <t>Seller: 陳敬侯 [CHEN Jinghou] -- Buyer: 子秀 [ZI Xiu] -- Place: 福建省古田縣 [Fujian Sheng Gutian Xian] -- Government</t>
  </si>
  <si>
    <t>粮单／税单（纳户执照）</t>
  </si>
  <si>
    <t>中华民国十三年分；中华民国拾伍年</t>
  </si>
  <si>
    <t>永泰县知事征收钱粮所发执照；纳户黄同德</t>
  </si>
  <si>
    <t>黄同德（纳户）</t>
  </si>
  <si>
    <t>其他（田赋地丁）</t>
  </si>
  <si>
    <t>地丁银伍钱正（两年各一照）</t>
  </si>
  <si>
    <t>地丁银伍钱正</t>
  </si>
  <si>
    <t>大方形红色县印；第1张有红'能'字戳，第2张有红'流'字戳及骑缝号；均有'如有重完错纪，限十日内到柜驳改，如迟自悮'说明框</t>
  </si>
  <si>
    <t>共2张纳户执照，户名均为黄同德：1）民国十三年分地丁银伍钱正（表格印刷年分似为民国拾伍年，日期手书'十九'(?)）；2）永泰县知事为征收钱粮事所发纳户执照，中华民国拾伍年分地丁银伍钱正，落款中华民国拾伍年七(?)月，字第十六(?)号</t>
  </si>
  <si>
    <t>第1张版式与Folder 118黄乞容第8张同（木刻'纳户执照'），第2张明印'永泰县知事'。黄同德与黄乞容同为永泰县黄姓粮户。</t>
  </si>
  <si>
    <t>第1张印刷年分'拾伍'及手书日期存疑；第2张月份'七'与编号'十六'存疑；都、甲名称未填或不清</t>
  </si>
  <si>
    <t>Owner: 黃同德 [HUANG Tongde] -- Place: 福建省永泰縣 [Fujian Sheng Yongtai Xian] -- Government</t>
  </si>
  <si>
    <t>1924 to 1926</t>
  </si>
  <si>
    <t>中华民国十四年五月廿五日（官契纸）；白契年月残缺</t>
  </si>
  <si>
    <t>承嗣父遗下阄分份下厝屋</t>
  </si>
  <si>
    <t>邹道明（邹道明）</t>
  </si>
  <si>
    <t>厝屋叁柱弍榈排壹座，共成弍堵(?)，上有梁椽砖瓦，下有地基砖石，门窗户扇、地棚板壁一切具全；横阔弍丈弍尺零，直深壹丈四尺零；四至：左郑家屋、右游家路、前郑家檐坪、后苏(?)家墙坪；厝角水井通用</t>
  </si>
  <si>
    <t>卖断足价银肆拾两正，纹广</t>
  </si>
  <si>
    <t>白契上有骑缝花押；黏连官契纸盖新领契纸戳、闽侯县契税局戳、'契纸每张加收善后附捐壹元'戳、县印、'验讫(?)'戳</t>
  </si>
  <si>
    <t>卖断，卖断之后价足心愿，不得别生枝节，永断葛藤</t>
  </si>
  <si>
    <t>1）卖断契（白契）：张铨铨卖厝屋与邹道明，契尾日期部分残缺；2）黏连官颁'卖契'契纸（新领契纸，残破）：买主'□商百寿协康(?)轩'，不动产种类墙屋，价壹千□□，应纳税额柒(?)拾□，立契年月民国十三年□，卖主德丰善(?)，中人吴阿佛，契纸落款中华民国十四年五月廿五日，盖'验讫(?)'红戳并手书'十一月'，左缘'福(?)字第□号'</t>
  </si>
  <si>
    <t>坐落'文山铺秋龙社'与Folder 119／119A王三妹典屋（文山铺秋龙巷）同一街区。黏连的官契纸买卖双方（德丰善→□商百寿协康轩）与白契不符，价额亦远高，可能是另一宗交易的契纸被一并保存。</t>
  </si>
  <si>
    <t>目录以张铨铨→邹道明、闽侯县、1925着录；官契纸所载双方与白契不同；白契自称'闽邑'（闽县）</t>
  </si>
  <si>
    <t>白契中人、代笔及日期在残缺处未见；官契纸买主名、价额、税额残破难辨；'弍堵'、'苏家'存疑</t>
  </si>
  <si>
    <t>Seller: 張銓銓 [ZHANG Quanquan] -- Buyer: 鄒道明 [ZOU Daoming] -- Place: 福建省閩侯縣 [Fujian Sheng Minhou Xian] -- Government</t>
  </si>
  <si>
    <t>中华民国十四年六月廿九(?)日；立契年月：民国十四年正月</t>
  </si>
  <si>
    <t>林履桐</t>
  </si>
  <si>
    <t>张炳源</t>
  </si>
  <si>
    <t>玉源垄上(?)</t>
  </si>
  <si>
    <t>不动产种类：祀田；面积乙号；四至栏空白</t>
  </si>
  <si>
    <t>卖价伍拾元</t>
  </si>
  <si>
    <t>郑蔚如</t>
  </si>
  <si>
    <t>古田契税局戳两方、'新领契纸'红戳、'奉令自拾弍年拾月二十一日起契纸加收善后附捐大洋壹元正'红戳、古田县印；应纳税额叁元</t>
  </si>
  <si>
    <t>仅官颁'卖契'契纸一张（新领契纸），左缘骑缝'福字第□号完税银叁元正'</t>
  </si>
  <si>
    <t>卖出的是'祀田'（祭祀田产）。与Folder 121同为古田县同一版式的官颁卖契纸。</t>
  </si>
  <si>
    <t>目录卖主'林履同'，契纸作'林履桐'</t>
  </si>
  <si>
    <t>坐落'玉源垄上'及日期'廿九'存疑</t>
  </si>
  <si>
    <t>Seller: 林履同 [LIN Lutong] -- Buyer: 張炳源 [ZHANG Bingyuan] -- Place: 福建省古田縣 [Fujian Sheng Gutian Xian] -- Government</t>
  </si>
  <si>
    <t>中华民国拾捌年拾弍月 日</t>
  </si>
  <si>
    <t>金缉和（金缉和）</t>
  </si>
  <si>
    <t>承父手置；在见弟炳和</t>
  </si>
  <si>
    <t>金信江</t>
  </si>
  <si>
    <t>玉渡湖地方，土名考塘坑垅等处（官契纸：永泰县玉渡湖乡考塘坑村）</t>
  </si>
  <si>
    <t>底面全民田一号，共受种壹亩零，载粮陆分伍厘正库，其粮即付收割入户</t>
  </si>
  <si>
    <t>时值价银壹佰伍拾两正，每两每折钱捌佰文扣（民国三十二年官契纸作国币壹百伍拾元）</t>
  </si>
  <si>
    <t>林发祥</t>
  </si>
  <si>
    <t>弟炳和（在见）</t>
  </si>
  <si>
    <t>金石友（代字）</t>
  </si>
  <si>
    <t>白契贴国民政府印花税票壹圆一枚、红色骑缝印及'高贵(?)169'红戳；民国三十二年永泰县官契纸（县印多方）及田赋管理处契税收据（税额壹拾伍元＋县小学教育附加叁元柒角伍分）</t>
  </si>
  <si>
    <t>卖断，断之后价已敷足，永不敢言尽说赎、别生枝节</t>
  </si>
  <si>
    <t>1）卖断契（白契）：民国拾捌年拾弍月，金缉和卖底面全民田与金信江，贴'国民政府印花税票'壹圆一枚；2）永泰县官颁'卖契'契纸（业户执收联）：买人金信江，住址嵩口镇玉湖保，坐落永泰县玉渡湖乡考塘坑村，田计壹亩，价国币壹百伍拾元，出卖人金缉和，中证人林发祥，中华民国三十二年六月卅日；3）财政部福建省永泰县田赋管理处'契税收据'：业主金信江（嵩口乡（镇）玉湖□村）呈缴卖契一纸，卖价壹百伍拾元，应纳税额壹拾伍元，附加县小学教育经费百分之廿五计叁元柒角伍分，民国三十二年六月卅日，经收员张□□盖章</t>
  </si>
  <si>
    <t>1929年白契到1943年才补税换领官契纸，契价'壹佰伍拾两'在官契纸上直接写成'国币壹百伍拾元'；买卖双方同为金姓，可能是族内交易。契内注'内涂每字壹字，又添典、便弍字'。</t>
  </si>
  <si>
    <t>考塘坑'之'考'、'高贵169'红戳含义、经收员名存疑</t>
  </si>
  <si>
    <t>Seller: 金輯和 [JIN Jihe] -- Buyer: 金信江 [JIN Xinjiang] -- Place: 福建省永泰縣 [Fujian Sheng Yongtai Xian] -- Government</t>
  </si>
  <si>
    <t>1925 to 1943</t>
  </si>
  <si>
    <t>典契（寄佃契，出典田根）</t>
  </si>
  <si>
    <t>中华民国拾伍年十一月 日</t>
  </si>
  <si>
    <t>朝官（仝弟义金、义仙）</t>
  </si>
  <si>
    <t>承祖遗下阄分田根；知契母黄氏（画押）</t>
  </si>
  <si>
    <t>兄文凤（文凤）</t>
  </si>
  <si>
    <t>七都牛桥墩地方，土名尼姑坠(?)并大坂(?)等处</t>
  </si>
  <si>
    <t>民田根弍号，受种肆拾筋正，年载租米贰石叁斗伍升正，纳在黄处</t>
  </si>
  <si>
    <t>田根价光番壹百玖拾捌员正</t>
  </si>
  <si>
    <t>黄家仙</t>
  </si>
  <si>
    <t>母黄氏（知契）；弟义金（仝）；弟义仙（仝）；叔仁立（在见）</t>
  </si>
  <si>
    <t>马传梅（执笔）</t>
  </si>
  <si>
    <t>契面骑缝盖红色方印；左缘残存官方表格及红印</t>
  </si>
  <si>
    <t>面约伍年为限，俟至限满之日听弟备价照契面钱文对期取赎，如未赎照旧管业</t>
  </si>
  <si>
    <t>左缘残存另一官方表格的残片（蓝色格线，可见'坐''墩地方'等字及红印），残缺无法辨认全文；契背有'大□'二字</t>
  </si>
  <si>
    <t>兄弟之间的'寄佃'（出典田根）交易，承典人为兄文凤；租米须纳在黄处（田面主?）。契末注'内注此字壹字'。</t>
  </si>
  <si>
    <t>目录作Seller/Buyer卖契，实为附五年回赎期的寄佃（典）契</t>
  </si>
  <si>
    <t>土名'尼姑坠'、'大坂'存疑；所属县份未见；左缘官方残片内容无法辨读</t>
  </si>
  <si>
    <t>Seller: 朝官 [Chaoguan] -- Buyer: 文鳳 [Wenfeng] -- Place: 福建省 [Fujian Sheng] -- Government</t>
  </si>
  <si>
    <t>民国拾伍年□月□日（月份字似'五'，存疑）</t>
  </si>
  <si>
    <t>永泰县征收钱粮机关所发纳户执照；纳户（花户）黄同华</t>
  </si>
  <si>
    <t>永泰县（都、甲未填或不清）</t>
  </si>
  <si>
    <t>其他（田赋地丁银完纳）</t>
  </si>
  <si>
    <t>民国拾伍年地丁银完纳执照，粗糙木刻印本，'纳户执照'，内有'合给执照须至照者''为征收钱粮事'等印文</t>
  </si>
  <si>
    <t>完纳数额手写'□□□柒(?)'与印刷单位字夹写，单位字不清</t>
  </si>
  <si>
    <t>朱色大方官印压于正文，另一方朱印压于纳户姓名处；左下有朱色长方戳（限期赴柜之类告示文字，不清）；右缘为串票合同骑缝字号</t>
  </si>
  <si>
    <t>与 Folder 128 黄国兴件中的三张（第2–4页）为同一种粗刻纳户执照版式，左下角手写'花'字。</t>
  </si>
  <si>
    <t>月份、完纳金额及单位字均不清；右缘骑缝字号不能读。</t>
  </si>
  <si>
    <t>中华民国拾伍年五月 日（第1、5、6页）；民国拾伍年七月、九月、冬(?)月（第2–4页）</t>
  </si>
  <si>
    <t>永泰县知事为征收钱粮事发给纳户执照；纳户黄国兴(?)</t>
  </si>
  <si>
    <t>黄国兴(?)</t>
  </si>
  <si>
    <t>永泰县（都、甲空白）</t>
  </si>
  <si>
    <t>民国拾伍年地丁银完纳执照六张</t>
  </si>
  <si>
    <t>肆钱正；壹钱正；壹钱正；另三张粗刻版金额不清</t>
  </si>
  <si>
    <t>各张均压朱色大官印及纳户名处朱色方印；精刻版有'如有重完错纳限十日内赴柜驳改如迟自误'告示框；右缘串票合同骑缝字号</t>
  </si>
  <si>
    <t>共6张纳户执照，均为永泰县、纳户黄国兴(?)，均写'民国拾伍年地丁银'：①第1页：精刻版'永泰县知事为征收钱粮事'式，中华民国拾伍年五月日，荒字第十九号，完肆钱正；②第2页：粗刻版，民国拾伍年冬(?)月廿一日，完叁(?)…（金额与单位字不清）；③第3页：粗刻版，民国拾伍年九月廿二日，完玖(?)□伍(?)□；④第4页：粗刻版，民国拾伍年七月廿三日，完捌(?)□柒(?)□捌(?)；⑤第5页：精刻版，五月，荒(?)字第三百〇五号，完壹钱正；⑥第6页：精刻版，五月，第三百〇六号，完壹钱正</t>
  </si>
  <si>
    <t>同一纳户同一年度（拾伍年）分多次完纳，第5、6张字号相连（第三百〇五、〇六号）。精刻版左栏印刷年份字形似'拾四(?)年'，与正文'拾伍年'不一致，或为旧版沿用。</t>
  </si>
  <si>
    <t>目录作1926至1927年；图像所见均为民国拾伍年（1926）</t>
  </si>
  <si>
    <t>纳户名第三字草书'兴'存疑；粗刻版三张金额及单位字不清；第2页月份'冬'存疑。</t>
  </si>
  <si>
    <t>Owner: 黃國興等 [HUANG Guoxing] etc. -- Place: 福建省永泰縣 [Fujian Sheng Yongtai Xian] -- Government</t>
  </si>
  <si>
    <t>1926 to 1927</t>
  </si>
  <si>
    <t>其他（契税清查证）</t>
  </si>
  <si>
    <t>民国十六年四月（投税）</t>
  </si>
  <si>
    <t>福建□□县发给的契税清查证；业户赖国才</t>
  </si>
  <si>
    <t>赖国才</t>
  </si>
  <si>
    <t>汤湖乡，坐落竹山(?)地方</t>
  </si>
  <si>
    <t>屋（手写'□屋'，首字似'家'或'宗'，存疑），坐落竹山(?)地方</t>
  </si>
  <si>
    <t>缴清查费大洋肆(?)角；产价数字不清（手写'壹'等字）</t>
  </si>
  <si>
    <t>绿色印刷官方证书，压有朱色县印两方；'福字第二十三(?)号'；左下'此联给承领人存执'</t>
  </si>
  <si>
    <t>红框内有'业户须知'印文；纸张虫蛀严重。</t>
  </si>
  <si>
    <t>县名、产价、物业首字及字号均存疑；纸张残缺。</t>
  </si>
  <si>
    <t>Owner: 賴國才 [LAI Guocai] -- Place: 福建省 [Fujian Sheng] -- Government</t>
  </si>
  <si>
    <t>其他（收租字／山租收据）</t>
  </si>
  <si>
    <t>民国十六年拾壹月 日</t>
  </si>
  <si>
    <t>黄丁荃(?)</t>
  </si>
  <si>
    <t>山主收租立收字人</t>
  </si>
  <si>
    <t>黄花兰(?)（纳租人）</t>
  </si>
  <si>
    <t>土名牙边(?)</t>
  </si>
  <si>
    <t>收得黄花兰(?)处(?)所纳土名牙边(?)本年份山租钱</t>
  </si>
  <si>
    <t>山租钱弍十七千(?)文(?)</t>
  </si>
  <si>
    <t>无官印；纸上有印刷边框</t>
  </si>
  <si>
    <t>收来完足字照'；属山租收据，非买卖契。</t>
  </si>
  <si>
    <t>目录作卖主/买主，实为收租字据</t>
  </si>
  <si>
    <t>纳租人第二、三字及'处'字、地名'牙边'、钱数单位'千文'均存疑；立收人名前一字似'黄'。</t>
  </si>
  <si>
    <t>Seller: 黃丁荃 [HUANG Dingquan] -- Buyer: 黃花?蘭(租客) [HUANG Hua?lan] -- Personal</t>
  </si>
  <si>
    <t>民国拾伍年十一月（立契）；中华民国十六年五月（契纸）；中华民国十七年二月（验契）</t>
  </si>
  <si>
    <t>朝官</t>
  </si>
  <si>
    <t>文凤</t>
  </si>
  <si>
    <t>坐落柒都□(?)</t>
  </si>
  <si>
    <t>民田，面积肆斗（种），四至东西南北均以'○'填写</t>
  </si>
  <si>
    <t>典价壹百玖拾捌元</t>
  </si>
  <si>
    <t>典契纸压县印朱印数方；验税契证为福建财政厅颁发，贴印花税票两枚，朱戳'二十年查讫'；纳税额肆元柒角伍分捌(?)</t>
  </si>
  <si>
    <t>典契（可回赎），未见具体期限</t>
  </si>
  <si>
    <t>①第1页：官印典契纸（附'例则摘要'），承典人文凤，民田，典价壹百玖拾捌元，应纳税额肆元柒角伍占(分)捌(?)，立契民国拾伍年十一月，契纸发给日期中华民国十六年五月；②第2页：福建财政厅验税契证，已税典契壹纸，产价壹百玖拾捌元，纳纸价壹元伍角、注册费壹角、附加教育费贰角，右给业户文凤，中华民国十七年二月日给，新字第□号，贴印花税票2分两枚，朱色'二十年查讫'戳</t>
  </si>
  <si>
    <t>页眉手写'□明择(?)手山柒(?)'及'□泽(?)标(?)'等批注；四至全部画圈未填；验契证左侧存根联记产价壹百玖拾捌元。</t>
  </si>
  <si>
    <t>目录以'文凤'为卖主，图像中文凤为承典人（业户），出典人为朝官；目录记闽清县，图像中未见县名（县名部分残缺）</t>
  </si>
  <si>
    <t>坐落都名后字、页眉批注、税额末位字存疑。</t>
  </si>
  <si>
    <t>Seller: 文鳳 [WEN Feng] -- Place: 福建省閩清縣 [Fujian Sheng Minqing Xian] -- Government</t>
  </si>
  <si>
    <t>1927 to 1928</t>
  </si>
  <si>
    <t>131A</t>
  </si>
  <si>
    <t>民国七年（立契）；中华民国十六年八月（契纸、清查证）</t>
  </si>
  <si>
    <t>陈兆涛</t>
  </si>
  <si>
    <t>卖主；与买主陈兆和同辈同族（兆字辈）</t>
  </si>
  <si>
    <t>陈兆和</t>
  </si>
  <si>
    <t>马耳（地方）</t>
  </si>
  <si>
    <t>田（屋／田栏未明确），坐落马耳；面积、四至栏空白</t>
  </si>
  <si>
    <t>卖价弍拾捌元</t>
  </si>
  <si>
    <t>陈兆长</t>
  </si>
  <si>
    <t>官契纸压'永泰契税(?)'等朱印数方及福建财政厅印；纳税额壹元捌角捌分(?)；清查证压福建财政厅大印并收清查费大洋肆角；左侧骑缝'福字第□号'及税额</t>
  </si>
  <si>
    <t>①官印卖契纸（附例则摘要）：不动产种类田，卖价弍拾捌元，应纳税额壹元捌角捌分(?)，原契几张'无'，立契年月民国七年，坐落马耳，卖主陈兆涛，中人陈兆长，中华民国十六年八月日县给，福字第□号；②福建财政厅契税清查证（粘贴于上）：查得马耳地方乡业户陈兆和由陈兆涛得(?)，产价弍拾捌元，其契于十六年八月投税契单福字第肆(?)号，缴清查费大洋肆角，中华民国拾陆年八月日给</t>
  </si>
  <si>
    <t>民国七年私下成交，迟至民国十六年才补领官契纸并投税、同时办清查证，为契税清查补税实例；卖主与买主皆兆字辈，似为族内交易。</t>
  </si>
  <si>
    <t>目录作1927年，为补税年份；立契实为民国七年（1918）</t>
  </si>
  <si>
    <t>税额末字'夬'释为'分'存疑；清查证'由陈兆涛得'后文字及字号末字存疑；县名据'永泰'朱印判断。</t>
  </si>
  <si>
    <t>Seller: 陳兆濤 [CHEN Zhaotao] -- Buyer: 陳兆和 [CHEN Zhaohe] -- Place: 福建省永泰縣 [Fujian Sheng Yongtai Xian] -- Government</t>
  </si>
  <si>
    <t>民国拾七年叁月吉日</t>
  </si>
  <si>
    <t>张国光</t>
  </si>
  <si>
    <t>承祖遗阄分之田；卖与本房堂兄</t>
  </si>
  <si>
    <t>张国宝（堂兄）</t>
  </si>
  <si>
    <t>五十三都角洋乡，土名柯岭垅(?)上下，又土名党(?)后洋过垻(?)等处</t>
  </si>
  <si>
    <t>田＋田根＋田面</t>
  </si>
  <si>
    <t>有课田两号（根面全田）：一号土名柯岭垅(?)上下，年受种弍拾筋；一号根田土名党(?)后洋过垻(?)等处，年受种壹拾筋；递年纳出面租陆拾筋</t>
  </si>
  <si>
    <t>价银大洋弍佰弍拾员正</t>
  </si>
  <si>
    <t>叔经枝</t>
  </si>
  <si>
    <t>敬(?)祖智顺（在见）；叔经清（仝见）；母刘氏（知契）；兄国翰（在见）；叔经波（在见）</t>
  </si>
  <si>
    <t>白契加盖官印骑缝；官契纸压福建财政厅印及县印、监印员/校对员朱戳，纳税额壹拾叁元弍角（6%），贴印花税票3枚</t>
  </si>
  <si>
    <t>卖断，永断割藤，两无反悔</t>
  </si>
  <si>
    <t>①第1页：白契'立卖断根面全田契'，民国拾七年叁月吉日，张国光卖与本房堂兄张国宝，价大洋弍佰弍拾员；左端粘连契尾残边（'号完税银壹拾叁元弍角'）；②第2页：官印卖契纸，买主张国宝，田，卖价弍百弍拾元，应纳税额壹拾叁元弍角，立契民国十七年三月，坐落五十三都，面积受种叁拾筋，卖主张国光，中人经枝，中华民国十七年九月廿日县给，贴印花税票3枚</t>
  </si>
  <si>
    <t>根面全田一并卖断；母刘氏以'知契'身份画押；同年九月即投税换官契纸。</t>
  </si>
  <si>
    <t>目录作1928至1935年、闽侯县；图像所见年份仅民国十七年（1928），县名未见</t>
  </si>
  <si>
    <t>土名'柯岭垅''党后洋过垻'及'敬祖'等字存疑。</t>
  </si>
  <si>
    <t>Seller: 張國光 [ZHANG Guoguang] -- Buyer: 張國寶 [ZHANG Guobao] -- Place: 福建省閩侯縣 [Fujian Sheng Minhou Xian] -- Government</t>
  </si>
  <si>
    <t>1928 to 1935</t>
  </si>
  <si>
    <t>中华民国拾柒年 月 日</t>
  </si>
  <si>
    <t>昌宜</t>
  </si>
  <si>
    <t>兄；仝弟侄等承祖手置</t>
  </si>
  <si>
    <t>咸宜（弟）</t>
  </si>
  <si>
    <t>本乡地方，土名梨模垅(?)等处</t>
  </si>
  <si>
    <t>田根＋地基／屋地</t>
  </si>
  <si>
    <t>民田根壹号（受种叁筋，年载田租米叁斗壹升伍合）内抽出右边壹截（受种壹拾两），应分租米柒升伍合，送与弟建筑厨房</t>
  </si>
  <si>
    <t>田价钱贰拾叁千文正</t>
  </si>
  <si>
    <t>弟传宜（仝）；弟乾宜（仝）；侄冬存（仝）；族长友谟（公见）</t>
  </si>
  <si>
    <t>卢文钊（代字中，兼中人）</t>
  </si>
  <si>
    <t>无官印（白契）；代字人卢文钊钤私章；内添注'受种贰字'处钤小印</t>
  </si>
  <si>
    <t>送断，各无异言</t>
  </si>
  <si>
    <t>题作'送断字'，实为有价转让，用途为弟建厨房；左端大字'大吉昌'。与 Folder 135 同为咸宜买入同一土名之地建厨房、同一代字卢文钊与族长友谟。</t>
  </si>
  <si>
    <t>目录未记日期；图像为民国拾柒年（1928）。目录所记清源县在图像中未见</t>
  </si>
  <si>
    <t>土名'梨模垅'、'纳在田主仁房乘□'一段、族长名'友谟'均为草书推读。</t>
  </si>
  <si>
    <t>Seller: 昌宜 [Changyi] -- Buyer: 咸宜 [Xianyi] -- Place: 福建省（清源縣?） [Fujian Sheng (Qingyuan Xian?)] -- Personal</t>
  </si>
  <si>
    <t>中华民国十七年一月十五日给</t>
  </si>
  <si>
    <t>验契证不载卖主</t>
  </si>
  <si>
    <t>锖商百寿协庆轩</t>
  </si>
  <si>
    <t>闽侯县(?)</t>
  </si>
  <si>
    <t>坐落四至原契已载明</t>
  </si>
  <si>
    <t>断契壹纸（坐落四至见原契）</t>
  </si>
  <si>
    <t>产价壹仟叁佰伍拾元；纳纸价壹元伍角、注册费壹角、附加教育费贰角</t>
  </si>
  <si>
    <t>福建财政厅验税契证，新字第捌仟伍佰捌拾叁号（?），福建财政厅验契关防多方，‘税’字圆戳</t>
  </si>
  <si>
    <t>业户是商号（锖商百寿协庆轩），属团体业主；与Folder 123官契纸上的买主同名，可能就是那件秋龙社厝屋的后续验契。</t>
  </si>
  <si>
    <t>目录作‘锖啇百寿协厅轩’，证面似为‘锖商百寿协庆轩’</t>
  </si>
  <si>
    <t>号数、业户名第二、六字存疑；不动产种类按Folder 123推断</t>
  </si>
  <si>
    <t>Buyer: 錆啇百壽協廳軒 [Qiangdi Baishouxietingxuan] -- Place: 福建省 [Fujian Sheng] -- Government</t>
  </si>
  <si>
    <t>道楷</t>
  </si>
  <si>
    <t>叔；仝侄等承父手置</t>
  </si>
  <si>
    <t>咸宜（侄）</t>
  </si>
  <si>
    <t>田面＋地基／屋地</t>
  </si>
  <si>
    <t>面租壹号（受种叁筋，年载田租米叁斗壹升伍合），内抽出租米七升五合，合受苗米柒合伍勺(?)，挂主陈贵兴户下；送与侄建筑厨房</t>
  </si>
  <si>
    <t>价钱壹拾壹仟伍佰文正</t>
  </si>
  <si>
    <t>侄德宜（仝）；侄善宜（仝）；侄尊宜（仝）；侄礼宜（仝）；族长友谟（公见）</t>
  </si>
  <si>
    <t>无官印（白契）；代字人卢文钊钤私章</t>
  </si>
  <si>
    <t>送断，粮听过割入户，各无翻异</t>
  </si>
  <si>
    <t>与 Folder 133 为同一地块：昌宜出田根、道楷出面租，咸宜分别取得根面以建厨房，体现一田两主下需分别购买根、面。粮户挂陈贵兴户下。左端有大字（似吉语，不清）。</t>
  </si>
  <si>
    <t>苗米柒合伍勺'、'陈贵兴'、族长名为草书推读；左端大字不能确认。</t>
  </si>
  <si>
    <t>Seller: 道楷 [Daokai] -- Buyer: 咸宜 [Xianyi] -- Place: 福建省(清源縣?) [Fujian Sheng (Qingyuan Xian?)] -- Personal</t>
  </si>
  <si>
    <t>民国拾柒年□月□日</t>
  </si>
  <si>
    <t>永泰县知事黄(?)为征收钱粮事发给纳户执照</t>
  </si>
  <si>
    <t>黄乞容</t>
  </si>
  <si>
    <t>完纳民国拾陆年地丁银；宝字第五百〇八号</t>
  </si>
  <si>
    <t>弍□捌□（手写数字与印刷单位字夹写，单位疑为两、厘）</t>
  </si>
  <si>
    <t>朱色大官印、纳户名处朱方印；顶部朱印附加税告示框（各项附加、大洋弍元叁角伍分(?)、随粮捐、附加捐、每张若干文等）；右缘串票合同骑缝字号</t>
  </si>
  <si>
    <t>民国拾柒年完纳拾陆年地丁银；印文'永泰县知事'下刻一'黄'字，或为知事姓氏。与 Folder 127、128 同为粗刻纳户执照版式。</t>
  </si>
  <si>
    <t>完纳金额及单位、顶部附加税告示多数字不清。</t>
  </si>
  <si>
    <t>Owner: 黃乞容 [HUANG Qirong] -- Place: 福建省永泰縣 [Fujian Sheng Yongtai Xian] -- Government</t>
  </si>
  <si>
    <t>中华民国十七年五月</t>
  </si>
  <si>
    <t>卢亨云</t>
  </si>
  <si>
    <t>已税田契壹纸</t>
  </si>
  <si>
    <t>产价四十一元（?）</t>
  </si>
  <si>
    <t>福建财政厅验契关防；第二张为1930年代古田县已税契验契证（蓝框铅印），盖财政厅关防、县印、乡长章</t>
  </si>
  <si>
    <t>①福建财政厅《验税契证》：中华民国十七年五月□日给业户卢亨云，已税田契壹纸，产价四十一元(?)，纳纸价□元八角□分、注册费一角、附加教育费贰角，新字第□号；②福建省政府财政厅颁发古田县《已税契验契证》（三联之三，空白未填，仅盖财政厅验契证关防、县政府印及乡长私章，月份墨书‘10’月），注明‘此种已税契验契证不收验费’</t>
  </si>
  <si>
    <t>同一张田契先后两次验契：1928年验税契证，后来又贴上古田县《已税契验契证》，且已税红契不再收费。旁有墨书‘思滑(?)户’。</t>
  </si>
  <si>
    <t>产价数字‘四十一’、纸价金额存疑；第二证年份未填</t>
  </si>
  <si>
    <t>Owner: 盧亨雲 [LU Hengyun] -- Place: 福建省古田縣 [Fujian Sheng Gutian Xian] -- Government</t>
  </si>
  <si>
    <t>民国壹拾七年叁月吉日</t>
  </si>
  <si>
    <t>承祖手置课田；母刘氏知见</t>
  </si>
  <si>
    <t>堂兄张国宝</t>
  </si>
  <si>
    <t>本地方土名柯岭墘上下份等处</t>
  </si>
  <si>
    <t>课田壹段（根面全田），年受种拾筋（?）正；粮色照大湖（?）册科派</t>
  </si>
  <si>
    <t>银台伏壹百伍拾元正</t>
  </si>
  <si>
    <t>叔经清（全见）；母刘氏（知见，画押）</t>
  </si>
  <si>
    <t>卖断根面，已断葛藤，听钱主起佃耕作、过甲入户完课，永远管业，各勿反悔</t>
  </si>
  <si>
    <t>根面全田一并卖断，卖给堂兄；契末批明原契久远遗失，如有向出不堪行用；左上题'永远管业'。</t>
  </si>
  <si>
    <t>年受种拾筋'前数字及'大湖照册'处个别字存疑；未写代笔人</t>
  </si>
  <si>
    <t>Seller: 張國光 [ZHANG Guoguang] -- Buyer: 張國寶 [ZHANG Guobao] -- Place: unknown -- Personal</t>
  </si>
  <si>
    <t>中华民国十八年八月 日给</t>
  </si>
  <si>
    <t>福建财政厅</t>
  </si>
  <si>
    <t>福建财政厅给发验税契证</t>
  </si>
  <si>
    <t>业户林枝贵</t>
  </si>
  <si>
    <t>坐落四至原契已载明（左缘骑缝县印残文似'古田县'）</t>
  </si>
  <si>
    <t>已税田契壹纸；坐落四至原契已载明</t>
  </si>
  <si>
    <t>产价□□□□元；纸价□元□角□分，注册费□角，附加教育费贰角</t>
  </si>
  <si>
    <t>福建财政厅验契关防朱印、县印骑缝，贴印花税票两枚（2分）；小契证新字第□千号</t>
  </si>
  <si>
    <t>依财政部训令补办验契，已税旧契亦须呈验换证；产价与纸价用草码填写，难以辨认。</t>
  </si>
  <si>
    <t>产价及纸价数字草写难辨；字号不清</t>
  </si>
  <si>
    <t>Owner: 林枝貴 [LIN Zhigui] -- Place: 福建省古田縣 [Fujian Sheng Gutian Xian] -- Government</t>
  </si>
  <si>
    <t>民国十八年十一月</t>
  </si>
  <si>
    <t>陈成余</t>
  </si>
  <si>
    <t>业户陈传京</t>
  </si>
  <si>
    <t>坐落浮（?）村</t>
  </si>
  <si>
    <t>田，面积弍亩肆分叁（?）；四至未填</t>
  </si>
  <si>
    <t>该产价银壹百叁拾元；该契税银叁元玖角</t>
  </si>
  <si>
    <t>危聪（?）</t>
  </si>
  <si>
    <t>官契纸，盖财政厅/县朱印，契税银叁元玖角（约3%）</t>
  </si>
  <si>
    <t>福建省政府财政厅官印卖契纸（填写卖主、面积、产价、契税）一份，即本件</t>
  </si>
  <si>
    <t>福建省财政厅统一印制的'卖契'官契纸，业户凭中买受后申报印税；纸张残损严重，左侧县名残缺。</t>
  </si>
  <si>
    <t>坐落村名首字、中证人名、面积末位存疑；县名残缺，据目录作闽侯</t>
  </si>
  <si>
    <t>Owner: 陳傳京 [CHEN Chuanjing] -- Seller: 陈成餘 [CHEN Chengyu] -- Place: 福建省閩侯縣 [Fujian Sheng Minhou Xian] -- Government</t>
  </si>
  <si>
    <t>140A</t>
  </si>
  <si>
    <t>立契民国十八年十二月；验契证发给日期 中华民国 年 月十七日</t>
  </si>
  <si>
    <t>程道鲁</t>
  </si>
  <si>
    <t>出卖主，名下钤私章</t>
  </si>
  <si>
    <t>程杨春（即程由炖?）</t>
  </si>
  <si>
    <t>侯邑廿五都青岐（?）洲下垱（?）地方；业主住址洲□乡</t>
  </si>
  <si>
    <t>民园（?）／民田，壹（?）亩玖分〇整；四至、赋额未填</t>
  </si>
  <si>
    <t>产价捌拾元正</t>
  </si>
  <si>
    <t>程道法（?）</t>
  </si>
  <si>
    <t>福建省政府财政厅颁发闽侯县已税契验契证（三联之三），第19211号；盖财政厅验契证关防、县政府印、区长及乡长章；已税契不收验费</t>
  </si>
  <si>
    <t>已税契验契证，用铅笔填写；业主名后注'即程由炖'之类别名。</t>
  </si>
  <si>
    <t>目录称买主程杨春；验契证业主名作'程杨春（即程□□）'，大体一致</t>
  </si>
  <si>
    <t>铅笔字迹浅淡，坐落地名、面积首位、中证人名存疑</t>
  </si>
  <si>
    <t>Seller: 程道魯 [CHENG Daolu] -- Buyer: 程楊春 [CHENG Yangchun] -- Place: 福建省閩侯縣 [Fujian Sheng Minhou Xian] -- Government</t>
  </si>
  <si>
    <t>140B</t>
  </si>
  <si>
    <t>民国拾捌年拾弍月 日</t>
  </si>
  <si>
    <t>陈太记</t>
  </si>
  <si>
    <t>以'太记'号名立契，似为家号；在本乡人</t>
  </si>
  <si>
    <t>本族陈宿漙</t>
  </si>
  <si>
    <t>土名坐址杨厝他（?）</t>
  </si>
  <si>
    <t>手置民田数号，年受种壹拾伍筋正（根面全田）</t>
  </si>
  <si>
    <t>价钱大洋柒拾伍员正</t>
  </si>
  <si>
    <t>弟陈桂能（代字中）</t>
  </si>
  <si>
    <t>亚（?）弟林邦湖（全见）；陈宿开（?）（在见）</t>
  </si>
  <si>
    <t>白契钤'永远管业'等朱印并贴官契纸；官契纸纳税肆元伍角，贴印花税票三枚；民国廿四年验契证</t>
  </si>
  <si>
    <t>卖断根面，庚午年春付钱主起佃耕作，过册入户完课，永断葛藤</t>
  </si>
  <si>
    <t>1）白契：立卖断根面全田契，民国拾捌年拾弍月，陈太记卖与本族陈宿漙；2）官契纸'卖契'，买主陈宿漙，卖价柒拾伍元，应纳税额肆元伍角，民国二十年□月六日县给，福字第□号；3）闽侯县已税契验契证（三），业主陈桂修，住郭（?）安村，田坐落杨厝，受种拾伍斤，产价柒拾伍员，卖主陈太记，中证陈桂能，民国廿四年七月七日第20□□号</t>
  </si>
  <si>
    <t>同一田产先由陈宿漙买受（1929，1931年纳税），至1935年验契时业主已变为陈桂修，显示再转手；陈桂能兼中人与代字。</t>
  </si>
  <si>
    <t>目录买主陈宿漙；验契证业主为陈桂修</t>
  </si>
  <si>
    <t>坐址'杨厝他'后数字、见人名首字、验契证编号存疑</t>
  </si>
  <si>
    <t>Seller: 陳太記 [CHEN Taiji] -- Buyer: 陳宿漙 [CHEN Sutuan] -- Place: 福建省閩侯縣 [Fujian Sheng Minhou Xian] -- Personal</t>
  </si>
  <si>
    <t>1929 to 1935</t>
  </si>
  <si>
    <t>140C</t>
  </si>
  <si>
    <t>立契民国拾陆年拾弍月；验税契证民国十八年五月十日；验契证民国廿四年二月三日</t>
  </si>
  <si>
    <t>陈宿康</t>
  </si>
  <si>
    <t>陈桂修</t>
  </si>
  <si>
    <t>墙（?）坪乡郭（?）安村；田坐落晋埕前</t>
  </si>
  <si>
    <t>田，受种拾叁筋</t>
  </si>
  <si>
    <t>产价陆拾伍元</t>
  </si>
  <si>
    <t>陈文明</t>
  </si>
  <si>
    <t>1929年验税契证（财政厅关防、县印、印花税票2枚）；1935年闽侯县已税契验契证（财政厅关防、县府印、区长、保长章）</t>
  </si>
  <si>
    <t>1）福建财政厅验税契证，民国十八年五月十日给业户陈桂修，呈缴未税卖契壹纸，产价陆拾伍元，纳纸价伍元肆角肆分（?），注册费壹角，附加教育费贰角，新字第□千号；2）福建省政府财政厅颁发闽侯县已税契验契证（三），业主陈桂修，住墙（?）坪乡郭（?）安村，田坐落松（?）名晋埕前即□号（涂黑），受种拾叁斤，产价陆拾伍元，卖主陈宿康，中证陈文明，立契民国拾陆年拾弍月，民国廿四年二月三日第628□号</t>
  </si>
  <si>
    <t>未见原契本身，仅存两次验契凭证；同一业主陈桂修，产价相同，显示1929补税、1935再验两道程序。</t>
  </si>
  <si>
    <t>坐落字号被墨涂；纸价数字、编号存疑</t>
  </si>
  <si>
    <t>Seller: 陳宿康 [CHEN Sukang] -- Buyer: 陳桂修 [CHEN Guixiu] -- Place: 福建省閩侯縣 [Fujian Sheng Minhou Xian] -- Government</t>
  </si>
  <si>
    <t>中华民国十九年四月 日给</t>
  </si>
  <si>
    <t>补办验契</t>
  </si>
  <si>
    <t>业户洪国庆</t>
  </si>
  <si>
    <t>沙（?）洞地方</t>
  </si>
  <si>
    <t>田，亩分未详；坐落四至原契已载明</t>
  </si>
  <si>
    <t>产价叁拾捌元</t>
  </si>
  <si>
    <t>财政厅验契关防、县印；朱戳'奉财政厅令定逾限按月递加纸价十分之一'；正副证各一</t>
  </si>
  <si>
    <t>1）福建财政厅验税契证（正证），业户洪国庆呈缴未税典（?）契壹纸，产价叁拾捌元，纸价□元□角贰分、注册费壹角、附加教育费贰角；2）'税契已验'副证，民国十九年四月给，契证新字第□千号，填'□县沙（?）洞地方门牌□号，田□亩□分'</t>
  </si>
  <si>
    <t>所缴为'未税卦（典?）契'；副证上方批'洑（?）洞章□收'。</t>
  </si>
  <si>
    <t>契类字'卦'疑为'典'；纸价首位与地名存疑</t>
  </si>
  <si>
    <t>Owner: 洪國慶 [HONG Guoqing] -- Place: 福建省古田縣 [Fujian Sheng Gutian Xian] -- Government</t>
  </si>
  <si>
    <t>其他（送山地契／赠送坟地字）</t>
  </si>
  <si>
    <t>民国弍拾年□月初□日</t>
  </si>
  <si>
    <t>高天钏</t>
  </si>
  <si>
    <t>承祖纬刚公派下山地</t>
  </si>
  <si>
    <t>友郑祚龙</t>
  </si>
  <si>
    <t>土名过洋山北山墓埕下大坪园下</t>
  </si>
  <si>
    <t>吉穴壹穴，上至大坪园下，下至山坡，左至居耐墓，右至居炉墓</t>
  </si>
  <si>
    <t>未立价，'花红一概全免'</t>
  </si>
  <si>
    <t>兄居礑（?）（在见）</t>
  </si>
  <si>
    <t>族侄信钏（代笔经手人）</t>
  </si>
  <si>
    <t>立送字永远，郑家造坟葬亲，前无遮蔽、后无开凿，两相允诺各毋反悔</t>
  </si>
  <si>
    <t>以'送'的形式把墓穴赠友造坟，并约定郑家可锄高补低堆叠圆山、开门放水、路径通行；左上吉语'长发其祥'。</t>
  </si>
  <si>
    <t>月、日数字及见人名第二字存疑</t>
  </si>
  <si>
    <t>Seller: 高天钏 [GAO Tianchuan] -- Buyer: 郑祚龙 [ZHENG Zuolong] -- Personal</t>
  </si>
  <si>
    <t>民国□□年（印文漫漶）</t>
  </si>
  <si>
    <t>县政府（征收机关）</t>
  </si>
  <si>
    <t>印刷模糊的'□□执照'式田赋（地丁）缴纳执照</t>
  </si>
  <si>
    <t>地丁（田赋）事项，额数手填'拾柒……弍（?）分叁（?）厘〇毛'</t>
  </si>
  <si>
    <t>共缴收大洋□□；手填额'□拾柒□□弍（?）分叁（?）厘〇毛'</t>
  </si>
  <si>
    <t>县印朱方印两方；木刻印刷字迹多已糊不可辨</t>
  </si>
  <si>
    <t>木刻版印的地丁执照，墨色晕散，只能读出户名黄乞容与'地丁事''共缴收大洋'等字。</t>
  </si>
  <si>
    <t>目录年份1931、地点永泰县，图像上无法核实</t>
  </si>
  <si>
    <t>印刷文字及年份大多不可辨</t>
  </si>
  <si>
    <t>其他（不动产登记图式）</t>
  </si>
  <si>
    <t>民国二十一年十二月十二（?）日；收件章：中华民国21年12月9日</t>
  </si>
  <si>
    <t>闽侯地方法院不动产登记处</t>
  </si>
  <si>
    <t>登记申请人名旁注'协庆轩公帮（?）'</t>
  </si>
  <si>
    <t>协庆轩公帮（?）</t>
  </si>
  <si>
    <t>坐落闽侯南台惠泽境茶亭（?）街地方……</t>
  </si>
  <si>
    <t>房屋平面图（蓝笔绘），含厅、房、厨、空地、天井等，比例1/200，标东西南北</t>
  </si>
  <si>
    <t>图纸每分定价银弍分</t>
  </si>
  <si>
    <t>朱章'闽侯地方法院不动产登记处 台区 登记簿第49册第79页第1465号，中华民国21年12月9日收件第2145号'；方印</t>
  </si>
  <si>
    <t>法院系统的不动产登记附图，房屋格局以蓝笔绘制；登记人似为商帮/会馆性质的'协庆轩'。</t>
  </si>
  <si>
    <t>坐落地名后半及登记人名浅蓝字迹存疑</t>
  </si>
  <si>
    <t>Place: 福建省閩侯縣 [Fujian Sheng Minhou Xian] -- Government</t>
  </si>
  <si>
    <t>中华民国二十一年十一月 日</t>
  </si>
  <si>
    <t>刘振万</t>
  </si>
  <si>
    <t>刘纪臣</t>
  </si>
  <si>
    <t>坐址本乡地方土名东埔头并雷（?）园厝边</t>
  </si>
  <si>
    <t>民田根面全壹号，田弍坵，受种肆（?）斗；粮立在刘汝俊户下</t>
  </si>
  <si>
    <t>田断价大洋肆拾肆员正</t>
  </si>
  <si>
    <t>叔（?）搭（?）贵</t>
  </si>
  <si>
    <t>侄维兴（在见）</t>
  </si>
  <si>
    <t>中弟振财（秉笔）</t>
  </si>
  <si>
    <t>白契骑缝钤田赋管理处朱印，另粘卖契本契（1940年代田赋管理处，契税10%，契纸工本费国币二元）</t>
  </si>
  <si>
    <t>卖断根面，永远管业，不得异言找赎</t>
  </si>
  <si>
    <t>财政部福建省□县(市)田赋管理处卖契本契（交纳卖契税人存执）：业主刘纪臣，田，坐落东埔头，原业主刘振万，产价肆拾肆元，立契廿一年十一月，应纳契税肆元肆角（10%），报请税契卅（?）年四（?）月；贴印花税票40分，钤田赋管理处关防</t>
  </si>
  <si>
    <t>1932年白契至1940年代（田赋管理处时期）才补税，按产价10%纳税，反映抗战时期契税补征。</t>
  </si>
  <si>
    <t>受种数、中人名首字、补税年份'卅'存疑</t>
  </si>
  <si>
    <t>Seller: 劉振萬 [LIU Zhenwan] -- Buyer: 劉紀臣 [LIU jichen] -- Place: 福建省閩清縣 [Fujian Sheng Minqing Xian] -- Government</t>
  </si>
  <si>
    <t>其他（声明遗失契字）</t>
  </si>
  <si>
    <t>民国二十一年五月吉日</t>
  </si>
  <si>
    <t>林可昌、林可淦</t>
  </si>
  <si>
    <t>兄弟同立；声明祖遗阄书分长子长孙份下田根原契遗失</t>
  </si>
  <si>
    <t>林久澍（付执）</t>
  </si>
  <si>
    <t>土名坑里（?）</t>
  </si>
  <si>
    <t>田根壹号，计大小五坵，□文壹亩零（?），田头水压（?）壹口，田尾松柏五株；上辈手置原尽断各契共七纸，产价弍拾捌两（?）</t>
  </si>
  <si>
    <t>原契计产价弍拾捌两（?）正（非交易）</t>
  </si>
  <si>
    <t>陈其清（公亲经见）；王兆锋（公亲经见）；王光森（公亲经见）；林可泉（公亲经见）；林久檝（?）（公亲经见）</t>
  </si>
  <si>
    <t>王幼卿（代笔）</t>
  </si>
  <si>
    <t>因久澍年幼时契箱寄存别处而遗失七纸旧契，经公亲检阅阄书证明归祖房管业，声明日后寻出旧契作废纸，以杜争执。</t>
  </si>
  <si>
    <t>土名、亩数、产价单位及用途句（施食上座、出海）存疑</t>
  </si>
  <si>
    <t>Owner: 林可昌 [LIN Kechang] and 林可淦 [LIN Kegan] -- Personal</t>
  </si>
  <si>
    <t>卖断契（尽根找价断卖契）</t>
  </si>
  <si>
    <t>民国念壹年岁次壬申弍月 日</t>
  </si>
  <si>
    <t>宗弟钦源</t>
  </si>
  <si>
    <t>祖父遗下手置；母亲刘氏同收银</t>
  </si>
  <si>
    <t>宗兄钦瑞</t>
  </si>
  <si>
    <t>土名坐在板顶岑垅洛（?）</t>
  </si>
  <si>
    <t>民园壹段，计额玖分正；四至：东至庄园仔、西至连园、南至庄田、北至庄墓</t>
  </si>
  <si>
    <t>洋银大龙番壹佰柒拾员正，计每元柒钱弍分伍厘重</t>
  </si>
  <si>
    <t>陈菊花（中见人）；吴红理（中见人）</t>
  </si>
  <si>
    <t>母亲刘氏（仝收银）；细妹八清（?）</t>
  </si>
  <si>
    <t>陈仁芳（代笔人）</t>
  </si>
  <si>
    <t>尽根并找价断卖，此后永无找取赎言说，粮米由买主户下纳粮当差</t>
  </si>
  <si>
    <t>价款注明'大龙番'每元重七钱二分五厘；契中写明粮额由卖户移入买户（寿叁啚某冬户下）。与本批 Folder 156-159 的陈钦隆→陈钦瑞契为同一买主。</t>
  </si>
  <si>
    <t>目录卖主作'钦源'，契中写'宗弟钦源'（姓陈）</t>
  </si>
  <si>
    <t>土名末字、过户图甲名称、中见人'细妹八清'身份存疑</t>
  </si>
  <si>
    <t>Seller: 欽源 [Qinyuan] -- Buyer: 陳欽瑞 [CHEN Qinrui] -- Place: 福建省福清縣 [Fujian Sheng Fuqing Xian] -- Personal</t>
  </si>
  <si>
    <t>147A</t>
  </si>
  <si>
    <t>民国弍拾壹年十二月 日</t>
  </si>
  <si>
    <t>侄陈圣榜</t>
  </si>
  <si>
    <t>本房住人，阄分份下民田</t>
  </si>
  <si>
    <t>本房叔陈桂修</t>
  </si>
  <si>
    <t>土名坐址崩壠仓厝塆地方</t>
  </si>
  <si>
    <t>民田数号（根面全田），年受种陆筋正</t>
  </si>
  <si>
    <t>田价大洋叁拾员正</t>
  </si>
  <si>
    <t>胞侄长松（?）（在见）；胞侄长林（?）（在见）</t>
  </si>
  <si>
    <t>房叔陈宿赠（?）（代字）</t>
  </si>
  <si>
    <t>白契+财政厅官契纸（契税6%，1934年闽侯县契税局）+1935年验契证；钤'永远管业'等朱印</t>
  </si>
  <si>
    <t>卖断根面，永断葛藤，来年春付叔起佃耕作，过册入户完课</t>
  </si>
  <si>
    <t>1）福建省政府财政厅官契纸'卖契'：业户陈桂修，田受种陆斤，卖主陈圣榜，产价叁拾元，契税银壹元捌角，立契民国弍拾壹年十二月，民国弍拾叁年伍月拾弍（?）日闽侯县契税局印给，天字第捌百柒拾叁号；2）闽侯县已税契验契证（三）：业主陈桂修，住郎（?）官村，坐落崩壠仓厝塆即□号，受种陆斤，产价叁拾员，卖主陈圣榜，民国廿四年七月七日第128□□号</t>
  </si>
  <si>
    <t>陈桂修在本批中多次作为买主（140B、140C、147A），系同族内陆续收买田产；代字人陈宿某与140B买主陈宿漙同辈。</t>
  </si>
  <si>
    <t>见人名及代字人名末字存疑</t>
  </si>
  <si>
    <t>Seller: 陳聖榜 [CHEN Shengbang] -- Buyer: 陳桂修 [CHEN Guixiu] -- Place: 福建省閩侯縣 [Fujian Sheng Minhou Xian] -- Personal</t>
  </si>
  <si>
    <t>1932 to 1935</t>
  </si>
  <si>
    <t>民国二十二年伍月 日给</t>
  </si>
  <si>
    <t>古田县政府县长郑</t>
  </si>
  <si>
    <t>颁给汇造便民四柱易知单（推收认粮）</t>
  </si>
  <si>
    <t>粮户余兴泉</t>
  </si>
  <si>
    <t>□□都□甲（朱笔'二册''七（?）都'）</t>
  </si>
  <si>
    <t>前届册载则民田伍亩伍分（?）正；新收、开除均无；实在田同上</t>
  </si>
  <si>
    <t>以上合应征银伍钱叁分弍厘</t>
  </si>
  <si>
    <t>经管陈诚（朱戳'经管陈诚书'）</t>
  </si>
  <si>
    <t>古田县印朱方印、数额骑缝小方印</t>
  </si>
  <si>
    <t>四柱（旧管、新收、开除、实在）易知单，用于推收认粮以杜诡寄；与 Folder 149 叶克培单为同一版式。</t>
  </si>
  <si>
    <t>目录写'余兴泉'，单上写'余兴泉'，一致</t>
  </si>
  <si>
    <t>都甲编号与亩数后一字存疑</t>
  </si>
  <si>
    <t>Owner: 余興泉 [YU Xingquan] -- Place: 福建省古田縣 [Fujian Sheng Gutian Xian] -- Government</t>
  </si>
  <si>
    <t>民国贰拾贰年十月 日给</t>
  </si>
  <si>
    <t>颁给汇造便民四柱易知单</t>
  </si>
  <si>
    <t>粮户叶克培</t>
  </si>
  <si>
    <t>肆（?）陞（?）都（朱笔）</t>
  </si>
  <si>
    <t>前届册载则建屯（?）田壹亩叁分正；新收、开除无；实在建屯田全上</t>
  </si>
  <si>
    <t>以上合应征银壹钱壹分正</t>
  </si>
  <si>
    <t>经管□□（朱戳模糊）</t>
  </si>
  <si>
    <t>古田县印朱方印</t>
  </si>
  <si>
    <t>田则写作'建屯'（屯田类别），区别于148号的'民田'。</t>
  </si>
  <si>
    <t>都名、田则'建屯'存疑</t>
  </si>
  <si>
    <t>Owner: 葉克培 [YE Kepei] -- Place: 福建省古田縣 [Fujian Sheng Gutian Xian] -- Government</t>
  </si>
  <si>
    <t>民国弍拾叁年拾弍月吉日</t>
  </si>
  <si>
    <t>林述璋</t>
  </si>
  <si>
    <t>承父手置买断</t>
  </si>
  <si>
    <t>林学通</t>
  </si>
  <si>
    <t>闽侯邑嘉崇里叁啚下阵洋地方</t>
  </si>
  <si>
    <t>面根全民田壹号，册载壹区陆拾壹号，土名浦头，官丈壹亩玖分捌厘，上则田；四至：东林家田、西林家田、南浦墘、北林家田；粮在嘉崇里叁啚壹甲林继柱户下</t>
  </si>
  <si>
    <t>田价银大洋弍百员正</t>
  </si>
  <si>
    <t>林有泰；林宗年</t>
  </si>
  <si>
    <t>堂兄述发（在见）</t>
  </si>
  <si>
    <t>林吉昌（代笔）</t>
  </si>
  <si>
    <t>白契钤福州土地登记处验讫戳（民国33年2月28日）及'永远为业'朱印；粘未税契验契证，第41220号</t>
  </si>
  <si>
    <t>卖断面根，永断葛藤，不得别生枝节</t>
  </si>
  <si>
    <t>福建省政府财政厅颁发闽侯县未税契验契证（三），业主林学通，田，坐落嘉崇里，壹亩玖分捌（厘）整，产价贰百元，卖主林述璋，中证林宗年等，立契民国二十三年十二月，第41220号，第3区区长、第17保保长章；未税契每张征验契费银壹圆</t>
  </si>
  <si>
    <t>契中并缴林志禧卖断与林继柱民国税契壹纸，共成弍纸付执；内注涂改字数（至、侄、物、青）各已标明；1944年再经福州土地登记处验讫。</t>
  </si>
  <si>
    <t>验契证年月为手写潦草</t>
  </si>
  <si>
    <t>Seller: 林述璋 [LIN Shuzhang] -- Buyer: 林學通 [LIN Xuetong] -- Place: 福建省閩侯縣 [Fujian Sheng Minhou Xian] -- Government</t>
  </si>
  <si>
    <t>典契（胎押字）</t>
  </si>
  <si>
    <t>中华民国廿叁年十一月廿伍号</t>
  </si>
  <si>
    <t>黄怀周</t>
  </si>
  <si>
    <t>承祖遗下，原于嘉庆九年九月间典得郑祥霖厝屋</t>
  </si>
  <si>
    <t>邵李氏</t>
  </si>
  <si>
    <t>闽侯邑安民铺地方，公安局现编门牌第十四号</t>
  </si>
  <si>
    <t>厝屋四柱叁堵、后厨房、天井、水井，坐北朝南；四至：前至官街，后至萨家墙，左至黄家屋，右至黄家屋</t>
  </si>
  <si>
    <t>屋价银大洋弍佰肆拾元正</t>
  </si>
  <si>
    <t>郑庆安（中友）</t>
  </si>
  <si>
    <t>弟希周（在见）；母陈氏（知字）；高远钦（?）（担保本息）</t>
  </si>
  <si>
    <t>曾瑞图（代笔）</t>
  </si>
  <si>
    <t>白契贴印花税票3枚；1935法院不动产登记；1940典契纸纳税；1949后区人民委员会戳</t>
  </si>
  <si>
    <t>限壹年为期，期满备价取赎；按月计息，若逾期未赎即作抵押由邵家照旧管业收租</t>
  </si>
  <si>
    <t>1）福建省政府财政厅颁发福州（?）县典契纸，承典人邵李氏，产业种类屋，坐落安民巷十四号，典价贰百肆拾元，应纳税银贰元肆角，出典人黄怀周，中证人郑庆安，立契廿三年十一月廿五日，民国廿九年拾月九日印给，附逾限每月加收十分之一罚金戳；2）白契上钤闽侯地方法院不动产登记处收件章（24年5月21日，册82页178，第2452号）及'本件经法院登记发给证明书'朱戳；另有蓝色'古楼区人民委员会'戳</t>
  </si>
  <si>
    <t>所典房屋本身是黄家嘉庆九年（1804）典得之业，链条长达一百三十年；屋于福州城内安民巷，契尾'大吉祥'。</t>
  </si>
  <si>
    <t>目录作卖契，实为胎押（典）字</t>
  </si>
  <si>
    <t>利息、租金条款数字及典契纸县名存疑</t>
  </si>
  <si>
    <t>Seller: 黃懷周 [HUANG Huaizhou] -- Buyer: 邵李氏 [Shaolishi] -- Place: 福建省閩侯縣 [Fujian Sheng Minhou Xian] -- Government</t>
  </si>
  <si>
    <t>1934 to 1940</t>
  </si>
  <si>
    <t>其他（补新契）</t>
  </si>
  <si>
    <t>中华民国二十四年七月 日立</t>
  </si>
  <si>
    <t>刘德桂、刘德辉、刘如庆、刘景星等</t>
  </si>
  <si>
    <t>承曾祖廷极公遗下祀田，原契于咸丰年间因洪杨事变遗失，按建阳县验契办法第二条补立新契</t>
  </si>
  <si>
    <t>（自执）刘德桂等</t>
  </si>
  <si>
    <t>新溪、水南文庙等处</t>
  </si>
  <si>
    <t>祀田数段：田皮骨米壹箩五斗坐落水南文庙孔房门前；田皮骨米四箩五斗坐落新溪官厝垅上下段；田皮骨米四箩坐落新溪岩下石埂大路边土名狗肠；田骨米陆箩坐新溪下圹大路边；田皮骨米壹箩坐新溪大坪山鼻下等</t>
  </si>
  <si>
    <t>保长刘如庆；区长陈（?）维新</t>
  </si>
  <si>
    <t>建阳县政府印制不动产典卖立契用纸，每张收料价贰角；钤县印</t>
  </si>
  <si>
    <t>因太平天国（洪杨事变）时原契遗失，七十余年后依验契办法补立新契；以'田皮骨'计租米箩数。</t>
  </si>
  <si>
    <t>纸张残破，部分坐落地名存疑</t>
  </si>
  <si>
    <t>Owner: 劉德桂 [LIU Degui] 劉德輝 [LIU Dehui] 劉如慶 [LIU Ruqing] and 劉景星 [LIU Jingxing] -- Place: 福建省建陽縣 [Fujian Sheng Jianyang Xian] -- Government</t>
  </si>
  <si>
    <t>中华民国二十四年岁正月 日</t>
  </si>
  <si>
    <t>陈如良</t>
  </si>
  <si>
    <t>承上手遗有阄分己份佃田</t>
  </si>
  <si>
    <t>本保谋丁祖（丁祖谋）</t>
  </si>
  <si>
    <t>坐址十二都地方土名利洋里</t>
  </si>
  <si>
    <t>佃田根壹号，计田八亩五分，受种二斗五升，年还林姓主祖早米叁石捌斗</t>
  </si>
  <si>
    <t>足重银番肆拾员正</t>
  </si>
  <si>
    <t>陈赠寿</t>
  </si>
  <si>
    <t>胞兄如淋（在见）；陈德铭（仝见）</t>
  </si>
  <si>
    <t>陈炳星（代笔）</t>
  </si>
  <si>
    <t>白契钤菱形朱印；粘1935年古田县未税契验契证，骑缝加盖验契钤记</t>
  </si>
  <si>
    <t>限约三年，限满备价取赎，未满不得言赎；契末另批'民国三十年赎田作废'</t>
  </si>
  <si>
    <t>福建省政府财政厅颁发古田县未税契验契证（三）：业主丁祖谋，住第一区，佃田，坐落十二都利洋里，捌亩伍分，产价肆拾元，出典主陈如良，中证（陈）赠寿，立契民国二十四年元月，第24782号，验契费银壹圆</t>
  </si>
  <si>
    <t>典的是佃田根（田面耕作权），每年须向林姓田主纳早米三石八斗；1941年赎回作废。买主名'谋丁祖'实为丁祖谋，倒写插入。</t>
  </si>
  <si>
    <t>目录买主作'（陈？）谋丁'；验契证明作'丁祖谋'；目录未注明为典契且无年份</t>
  </si>
  <si>
    <t>无大疑</t>
  </si>
  <si>
    <t>Seller: 陳如良 [CHEN Ruliang] -- Buyer: （陈？）謀丁 [(CHEN?) Mouding] -- Place: 福建省古田縣 [Fujian Sheng Gutian Xian] -- Government</t>
  </si>
  <si>
    <t>中华民国24年6月 日</t>
  </si>
  <si>
    <t>验契证所载卖主</t>
  </si>
  <si>
    <t>张国轩</t>
  </si>
  <si>
    <t>业主住址'俞（?）年（?）'；坐落柯岭墘（?）</t>
  </si>
  <si>
    <t>田，亩分未填</t>
  </si>
  <si>
    <t>产价贰佰贰拾元</t>
  </si>
  <si>
    <t>张经枝</t>
  </si>
  <si>
    <t>福建省政府财政厅颁发闽侯县已税契验契证（三），第142□□号，第6区区长、第64保保长章；已税契不收验费</t>
  </si>
  <si>
    <t>立契'民十七年'，卖主张国光、中证张经枝、坐落柯岭墘，与 Folder 138（1928 张国光卖与堂兄张国宝，中人叔经枝，柯岭墘）为同一家族同年交易，但买主、价钱不同，可能是另一块田或同产再转。</t>
  </si>
  <si>
    <t>住址、坐落字迹潦草</t>
  </si>
  <si>
    <t>Owner: 張國軒 [ZHANG Guoxuan] -- Place: 福建省閩侯縣 [Fujian Sheng Minhou Xian] -- Government</t>
  </si>
  <si>
    <t>官方产权证照</t>
  </si>
  <si>
    <t>管业执照</t>
  </si>
  <si>
    <t>中华民国二十四年十月九日；公元一九五三年八月十五日</t>
  </si>
  <si>
    <t>林亲顶</t>
  </si>
  <si>
    <t>承祖父遗下，契据遗失，申请补给官契</t>
  </si>
  <si>
    <t>林亲顶（执管）；后为施至祥</t>
  </si>
  <si>
    <t>晋江县南门外十五都乳（?）山乡</t>
  </si>
  <si>
    <t>屋／厝＋田</t>
  </si>
  <si>
    <t>民厝（?）一间（?），四至：东至大□埕、南至沟、西至□、北至□；1953年契为农地0.88亩</t>
  </si>
  <si>
    <t>估值大洋陆拾元正；1953年价陆拾万元（旧人民币）</t>
  </si>
  <si>
    <t>林□坛（保证人）</t>
  </si>
  <si>
    <t>施光来（1953中证人）；施养炳（1953监证人）</t>
  </si>
  <si>
    <t>1935晋江县政府印及县印；1953晋江县人民政府契印、县长紫色签章</t>
  </si>
  <si>
    <t>1）晋江县政府印制不动产典卖立契用纸'立执管契字'（补给官契），民国二十四年十月九日，执管契字人林亲顶，第一七○二号；2）福建省人民政府公定契纸（分拆），1953年8月15日晋江县县长发给，承受人施至祥，不动产种类'农'，坐落玖十六箱内，面积○亩捌分捌厘○毫，价陆拾万元，原所有人陈佃，中证人施光来，监证人施养炳，立契'卅八'（?）</t>
  </si>
  <si>
    <t>跨越民国与新中国的产权链：1935年补给执管契，1953年土改后以人民政府公定契纸转移；两件人物不同（林→陈佃→施），关联待考。</t>
  </si>
  <si>
    <t>1935契纸残破，产业种类、四至、乡名多处不清；两页关联不明</t>
  </si>
  <si>
    <t>Owner: 林親顶 [LIN Qinding] -- Seller: 陳佃 [CHEN Dian] -- Buyer: 施至祥 [SHI Zhixiang] -- Place: 福建省晉江縣 [Fujian Sheng Jinjiang Xian] -- Government</t>
  </si>
  <si>
    <t>1935 to 1953</t>
  </si>
  <si>
    <t>155A</t>
  </si>
  <si>
    <t>其他（补断契）</t>
  </si>
  <si>
    <t>中华民国廿四年十月 日立（旁戳'中华民国廿五年十二月拾九日验'）</t>
  </si>
  <si>
    <t>刘人科等</t>
  </si>
  <si>
    <t>刘人科等房众；高祖子知公抽有面租祭业，原长房存执契据因移居异地遗失，请区保长证明补立断契</t>
  </si>
  <si>
    <t>子知公裔（刘子知後裔）</t>
  </si>
  <si>
    <t>六都地方土名麟（?）田洋住（?）宅杨厝柄</t>
  </si>
  <si>
    <t>面租祭业壹号，计租米玖拾六斗弍升小正，合受苗粮银照凭县例科派，立在刘东康户下完纳</t>
  </si>
  <si>
    <t>刘家和（证人）；刘春官（证人）；保长刘兆根；区长王白莲</t>
  </si>
  <si>
    <t>陈竹付（?）（代字）</t>
  </si>
  <si>
    <t>闽清县政府印制不动产典卖立契用纸，县印，贴印花税票1枚；税字第捌捌弍号；1936年验讫戳</t>
  </si>
  <si>
    <t>补立断契永远为业，系祖祭典与别房无干</t>
  </si>
  <si>
    <t>非交易而是补契：祖产祭田契据遗失，由区长、保长证明重立，归'子知公裔'轮值纳粮。</t>
  </si>
  <si>
    <t>土名首字、租米数、代字人名存疑</t>
  </si>
  <si>
    <t>Seller: 劉人科 [LIU Renke] -- Buyer: 劉子知後裔 [descendants of LIU Zizhi] -- Place: 福建省閩清縣 [Fujian Sheng Minqing Xian] -- Government</t>
  </si>
  <si>
    <t>卖断契（尽根断卖并找价契）</t>
  </si>
  <si>
    <t>民国丙子念伍年二月 日</t>
  </si>
  <si>
    <t>陈钦隆</t>
  </si>
  <si>
    <t>祖父遗下民田；母亲黄氏见契</t>
  </si>
  <si>
    <t>从弟陈钦瑞</t>
  </si>
  <si>
    <t>土名坐在庄厝前坑落经能干丈过</t>
  </si>
  <si>
    <t>民田壹段，计地陆分；四至：东至姚田埔、西至路庄墓、南至陈田、北至庄祭田；粮由陈源盛户下起除割过收入寿叁啚柒冬</t>
  </si>
  <si>
    <t>大洋番壹佰壹拾伍员正</t>
  </si>
  <si>
    <t>陈菊花（中见人）；吴红经（中见人）</t>
  </si>
  <si>
    <t>母亲黄氏（见契人，画圈）；二百五十二保保长陈义祥（钤章）</t>
  </si>
  <si>
    <t>陈仁山（代笔人）</t>
  </si>
  <si>
    <t>无官印（白契），保长私章</t>
  </si>
  <si>
    <t>尽根断卖并找价，永无前贱后贵、取找取赎</t>
  </si>
  <si>
    <t>左侧另批大字'银主自笔此契不用'，表明本件为作废稿本，与 Folder 158 卖主自笔本内容相同；左上圈记'大吉昌（?）'。</t>
  </si>
  <si>
    <t>中见人名'红经/红理'存疑</t>
  </si>
  <si>
    <t>Seller: 陳欽隆 [CHEN Qinlong] -- Buyer: 陳欽瑞 [CHEN Qinrui] -- Place: 福建省 [Fujian Sheng] -- Personal</t>
  </si>
  <si>
    <t>民国丙子念拾伍年二月 日</t>
  </si>
  <si>
    <t>祖父遗下民园；母亲黄氏见契</t>
  </si>
  <si>
    <t>土名坐在长垅落经能干丈过</t>
  </si>
  <si>
    <t>民园一段，计地伍分；四至：东至陈园、西至庄园、南至姚园、北至陈园；粮由陈源盛户下割过收入寿叁啚柒冬</t>
  </si>
  <si>
    <t>大洋番陆拾圆正</t>
  </si>
  <si>
    <t>母亲黄氏（见契人）；二百五十二保保长陈义祥（钤章）</t>
  </si>
  <si>
    <t>尽根断卖并找价，永无取找取赎</t>
  </si>
  <si>
    <t>同样批'银主自笔此契不用'，为 Folder 159 的代笔作废本；年份写作'念拾伍年'（笔误）。</t>
  </si>
  <si>
    <t>目录地点作闽侯县，契中无县名</t>
  </si>
  <si>
    <t>Seller: 陳欽隆 [CHEN Qinlong] -- Buyer: 陳欽瑞 [CHEN Qinrui] -- Place: 福建省閩侯縣 [Fujian Sheng Minhou Xian] -- Personal</t>
  </si>
  <si>
    <t>民田壹段，计地陆分；四至：东至姚田埔、西至路庄墓、南至陈田、北至庄祭田</t>
  </si>
  <si>
    <t>国币大洋壹佰壹拾伍员正</t>
  </si>
  <si>
    <t>法币／国币</t>
  </si>
  <si>
    <t>母亲黄氏（见契人）</t>
  </si>
  <si>
    <t>陈钦隆（卖主自笔）</t>
  </si>
  <si>
    <t>卖主自笔正本，与156号代笔本同一交易；代笔本写'大洋番'，自笔本改为'国币大洋'，反映1935年法币改革后的用语。</t>
  </si>
  <si>
    <t>民园一段，计地伍分；四至：东至陈园、西至庄园、南至姚园、北至陈园</t>
  </si>
  <si>
    <t>国币大洋陆拾员正</t>
  </si>
  <si>
    <t>卖主自笔正本，与157号代笔本对应；契末注'内涂改全中当差四字存炤'。</t>
  </si>
  <si>
    <t>其他（补契纸）</t>
  </si>
  <si>
    <t>中华民国二十六年八月八日</t>
  </si>
  <si>
    <t>晋江县政府</t>
  </si>
  <si>
    <t>补契；出卖人栏填'祖遗'，无契原因'年湮代远'</t>
  </si>
  <si>
    <t>业主吴修晟</t>
  </si>
  <si>
    <t>锡坑乡土名太妣墓</t>
  </si>
  <si>
    <t>民园，玖叶（?），○亩九分○厘，下则；四至：东至沟、南至岸、西至路、北至岸</t>
  </si>
  <si>
    <t>产价法币壹拾捌元正；应纳税银法币叁角陆分正</t>
  </si>
  <si>
    <t>吴笃志</t>
  </si>
  <si>
    <t>证明人第三区第270联保主任吴笃志（?）</t>
  </si>
  <si>
    <t>福建省政府财政厅颁发晋江县补契纸，补字第□□号；财政厅、县政府朱印；契纸费伍角、附加县小学教育经费五成</t>
  </si>
  <si>
    <t>因年代久远无原契而补领契纸，税率仅2%（补契减半征收）。</t>
  </si>
  <si>
    <t>面积单位'玖叶'含义不明</t>
  </si>
  <si>
    <t>Owner: 吳修晟 [WU Xiusheng] -- Place: 福建省晉江縣 [Fujian Sheng Jinjiang Xian] -- Government</t>
  </si>
  <si>
    <t>卖契（附回赎期限，实质为典）</t>
  </si>
  <si>
    <t>民国弍拾叁年拾弍月 日</t>
  </si>
  <si>
    <t>金敏涂</t>
  </si>
  <si>
    <t>承祖遗下阄分己额；仝弟敏村同立</t>
  </si>
  <si>
    <t>林施裕</t>
  </si>
  <si>
    <t>卅四都龙湘地方土名橄榄坵、埕垅、碗礤头等处</t>
  </si>
  <si>
    <t>底面全民田数号：橄榄坵受种伍分、年载租谷捌拾斤、配粮四分伍厘；埕垅受种叁分、租谷四拾斤、配粮弍分四厘；碗礤头等处受种柒分、租谷捌拾斤、配粮四分捌厘；共计粮壹钱陆分柒厘</t>
  </si>
  <si>
    <t>价钱陆拾捌仟陆佰文正</t>
  </si>
  <si>
    <t>黄庆麟</t>
  </si>
  <si>
    <t>仝弟敏村；叔信椿（在见）</t>
  </si>
  <si>
    <t>白契钤'永泰田赋管理分处（?）验讫'椭圆章及县印；粘1939年典契纸与逾限罚金收据</t>
  </si>
  <si>
    <t>言约伍年为限，限满备钱照契面对月期取赎，如未赎仍付管业</t>
  </si>
  <si>
    <t>1）福建省政府财政厅颁发永泰县典契纸，孙字第169号：承典人林施裕，田，坐落卅四都龙湘橄榄坵等处，赋额壹钱陆分柒厘，典价国币陆拾捌元陆角，应纳税银陆角玖分正，上手原契拾壹纸，出典人金敏涂，中证人黄庆麟，立契廿三年十二月，民国二十八年二月印给；贴印花税票2枚，批'正附罚契印合计……'；2）福建省政府财政厅业主逾限罚金收据，业主林施裕呈缴典受田业不动产契据逾限□□个月未税，罚金陆角玖分，民国二十八年二月十一日永泰县政府给，经收员刘世□</t>
  </si>
  <si>
    <t>白契写'卖契'但订五年回赎，官方1939年按典契征税（1%）并处逾限罚金；随契缴交上手老契共十一纸（金恭善、吴辉华、林吉桐、陈光师等），可追溯产权链；契价以'文'计，官契纸折成国币68.6元。</t>
  </si>
  <si>
    <t>目录年份1939为纳税年，立契为1934</t>
  </si>
  <si>
    <t>上手契人名个别字、罚金收据月数存疑</t>
  </si>
  <si>
    <t>Owner: 林施裕 [LIN Shiyu] -- Place: 福建省永泰縣 [Fujian Sheng Yongtai Xian] -- Government</t>
  </si>
  <si>
    <t>中华民国庚辰廿九年捌（?）月吉日</t>
  </si>
  <si>
    <t>蓝维乾、蓝维坤</t>
  </si>
  <si>
    <t>兄弟同立，原父手阄分份下山园</t>
  </si>
  <si>
    <t>吴淮棉</t>
  </si>
  <si>
    <t>本山土名定（?）下坑大小坪坵</t>
  </si>
  <si>
    <t>山／山林＋园</t>
  </si>
  <si>
    <t>山园壹号，载藤（?）壹千伍佰余根；四至：东至淮球园、西至立善园、南至淮元田、北至土墓</t>
  </si>
  <si>
    <t>国币银壹佰壹拾员正</t>
  </si>
  <si>
    <t>吴淮雨（中人）</t>
  </si>
  <si>
    <t>胞叔世余（在见）</t>
  </si>
  <si>
    <t>陈扬英（代笔）</t>
  </si>
  <si>
    <t>卖断，永为银主己业，不敢言说取赎、洗找、贴；园内吉穴听从银主择吉造葬</t>
  </si>
  <si>
    <t>约定园内若有吉穴可由买主择吉安葬，体现山园兼作坟地的用途；左上吉语'大吉昌（?）'。</t>
  </si>
  <si>
    <t>土名首字、'载藤'所指、月份存疑</t>
  </si>
  <si>
    <t>Seller: 藍維乾 [LAN Weiqian] and 藍維坤 [LAN Weikun] -- Buyer: 吳淮棉 [WU Huaimian] -- Personal</t>
  </si>
  <si>
    <t>中华民国叁拾年二月 日</t>
  </si>
  <si>
    <t>陈老凤</t>
  </si>
  <si>
    <t>承祖父遗下分过份下民房</t>
  </si>
  <si>
    <t>陈玉书</t>
  </si>
  <si>
    <t>契内未写乡里地名，仅称'本厝'</t>
  </si>
  <si>
    <t>屋＋其他（牛栏地）</t>
  </si>
  <si>
    <t>民房壹间（上连天空椽瓦，下连砖石户槅），坐在本厝右向埕头间落，东至叶（业?）主厝、西至陈梅花厝、南至埕、北至陈文珍厝；又壹间坐本厝下倒照大门边落，东至埕、西至牛栏地、南至陈菊花厝、北至大门；再壹间在倒照左边落；又牛栏地壹块在大门外，四至分晓</t>
  </si>
  <si>
    <t>国币陆佰员正</t>
  </si>
  <si>
    <t>陈红鳀（?）（中见，画圈）</t>
  </si>
  <si>
    <t>姚光珠（代笔人，钤印）</t>
  </si>
  <si>
    <t>无官印（白契），仅代笔人私章</t>
  </si>
  <si>
    <t>尽根断卖，声明日后无取找取赎、不得言说生情</t>
  </si>
  <si>
    <t>契末注明古契失落无存，日后寻出不得行用；有内添注'叶'字、'人'字及'再改俱字'等涂改说明；另有'并找价壹纸再照'，说明找价已并入本契；左侧大字'财丁发达'吉语。</t>
  </si>
  <si>
    <t>中见人名第三字似'鳀'，存疑；东至'叶主厝'之'叶'为添注字</t>
  </si>
  <si>
    <t>Seller: 陳老鳳 [CHEN Laofeng] -- Buyer: 陳玉書 [CHEN Yushu] -- Place: 福建省 [Fujian Sheng] -- Personal</t>
  </si>
  <si>
    <t>中华民国叁拾壹年拾壹月 日</t>
  </si>
  <si>
    <t>余传荃</t>
  </si>
  <si>
    <t>承父手置民田根</t>
  </si>
  <si>
    <t>张道兴</t>
  </si>
  <si>
    <t>本乡地方土名过头洋上下截等处；契本载业主住址南都金沙乡</t>
  </si>
  <si>
    <t>民田根壹号，受种柒升伍合，年载租米壹拾斗（?），土地编查段别壹拾弍段、地号伍佰壹拾柒号，亩分弍亩叁分伍厘，等则丁等；粮报立自己户下</t>
  </si>
  <si>
    <t>国币弍佰伍拾元正</t>
  </si>
  <si>
    <t>萧昭苓（?）（代字中，兼代笔）</t>
  </si>
  <si>
    <t>侄世琛（在见，画押）</t>
  </si>
  <si>
    <t>萧昭苓（?）（代字中）</t>
  </si>
  <si>
    <t>契上钤闽清县官印（红契）；附财政部福建省闽清县田赋管理处卖契契本，民国卅二年六月报税，契税弍拾伍元（10%），加盖'带征县契税附加六成'戳及县印</t>
  </si>
  <si>
    <t>卖断，声明余之子孙永不敢生端找赎，一笔千秋</t>
  </si>
  <si>
    <t>①卖断契（民国卅一年十一月，余传荃将民田根卖与张道兴，国币弍佰伍拾元，契上钤闽清县官印）；②财政部福建省闽清县田赋管理处卖契契本（民国卅二年六月发给，业主张道兴，原业主余传荃，产业时价弍佰伍拾元，应纳契税弍拾伍元，蓝色'带征县契税附加六成'戳）</t>
  </si>
  <si>
    <t>契中言明卖主'永远离佃'，买主自耕作纳租完课，即田根与佃耕一并转移；卖主承父手置田根。</t>
  </si>
  <si>
    <t>租米壹拾斗'及'法合正仲立大帝会'等语句读存疑；代字中人名存疑</t>
  </si>
  <si>
    <t>Owner: 張道興 [ZHANG Daoxing] -- Seller: 余傳荃 [YU Chuanquan] -- Buyer: 張道興 [ZHANG Daoxing] -- Place: 福建省閩清縣 [Fujian Sheng Minqing Xian] -- Government</t>
  </si>
  <si>
    <t>1942 to 1943</t>
  </si>
  <si>
    <t>领票／欠租字（租谷收据）</t>
  </si>
  <si>
    <t>中华民国卅二年十二月 日</t>
  </si>
  <si>
    <t>黄昌声（立收，给）</t>
  </si>
  <si>
    <t>收租人（业主），出具收据并钤私章</t>
  </si>
  <si>
    <t>陈智存（缴租人）</t>
  </si>
  <si>
    <t>其他（租米）</t>
  </si>
  <si>
    <t>收陈智存本年份四（?）□租米弍斗，□□六斤正（?），收足存照</t>
  </si>
  <si>
    <t>租米弍斗（重□□六斤?）</t>
  </si>
  <si>
    <t>无官印；仅收租人私章</t>
  </si>
  <si>
    <t>木刻印刷的'执照'格式收租条，手填缴租人、数量；印刷字迹模糊。</t>
  </si>
  <si>
    <t>目录将黄昌声列为Owner、陈智存为Buyer，实为收租凭据（陈智存为缴租人），并非买卖</t>
  </si>
  <si>
    <t>印刷部分字迹多漫漶；'重□□六斤'及'四□'未能确读</t>
  </si>
  <si>
    <t>Owner: 黃昌聲 [HUANG Changsheng] -- Buyer: 陳智存 [CHEN Zhicun] -- Place: unknown -- Government</t>
  </si>
  <si>
    <t>中华民国叁拾弍年农历捌月 日</t>
  </si>
  <si>
    <t>黄炮</t>
  </si>
  <si>
    <t>东山县人，承先人遗下瓦屋</t>
  </si>
  <si>
    <t>沈秀清</t>
  </si>
  <si>
    <t>东山县</t>
  </si>
  <si>
    <t>东山县住址土名南门大巷境内（1952年契纸作南门顶巷）</t>
  </si>
  <si>
    <t>瓦屋壹座内房壹间、伙食房壹间、带屏后房壹间，坐东向西；四至：前至本宅天井、后至路、左至本家厝、右至本宅厅；公契纸载东至路边、南至黄亚素厝共墙、西至公□边、北至陈花螺公用厅中，段别正字3、地号163、164</t>
  </si>
  <si>
    <t>国币银伍佰员正</t>
  </si>
  <si>
    <t>谢江霖（中证人，画圈）</t>
  </si>
  <si>
    <t>街长黄□聪（监证人，1952年契纸）</t>
  </si>
  <si>
    <t>林启昌（代书）</t>
  </si>
  <si>
    <t>1943年原契为白契（只有骑缝小章）；1952年补办福建省人民政府公定典契纸，钤东山县人民政府印、县长签章，贴人民印花税票两枚；另附1952年缴款书契税弍仟元</t>
  </si>
  <si>
    <t>典期限至伍年终，银便之日赎回文契；三年以外各开壹半（?）；风雨损坏由承典人居住管理</t>
  </si>
  <si>
    <t>①典契（民国叁拾弍年农历捌月，黄炮典屋与沈秀清，国币伍佰员，典期伍年）；②福建省人民政府公定典契纸（公元1952年7月，东山县县长发给，承受人沈秀清，原所有人黄炮，面积0亩0分7厘1毫，典价人民币柒万伍千弍佰元（?），附记'系与欧乌毛共资合典，限期伍年'，贴人民印花税票两枚）；③东山县缴款书收据（1952年，契税收入弍仟元，缴款人□□街政府／沈秀清，备注典契）</t>
  </si>
  <si>
    <t>民国典契到1952年土改后仍被新政权补税登记；新契纸附记该屋系与欧乌毛共资合典，原契未提及。</t>
  </si>
  <si>
    <t>目录称Seller/Buyer，实为典契而非卖契</t>
  </si>
  <si>
    <t>1952年典价大写数字读法存疑；'三年以外各开壹半'句意不明</t>
  </si>
  <si>
    <t>Seller: 黃炮 [HUANG Pao] -- Buyer: 沈秀清 [SHEN Xiuqing] -- Place: 福建省東山縣 [Fujian Sheng Dongshan Xian] -- Government</t>
  </si>
  <si>
    <t>1943 to 1952</t>
  </si>
  <si>
    <t>中华民国三十四年 月 日</t>
  </si>
  <si>
    <t>永泰县政府／永泰田赋粮食管理处</t>
  </si>
  <si>
    <t>发照机关；县长兼处长、副处长签章</t>
  </si>
  <si>
    <t>叶文怡</t>
  </si>
  <si>
    <t>梧桐乡镇土名横楼；业主住址永泰县梧桐乡坂埕村洋鸠保</t>
  </si>
  <si>
    <t>梧字第105段第34号，地目基地，等则弍等下则（?），面积0亩9分8厘，赋额0元1角3分；附图略图四邻地号35、17等，比例尺1:2000</t>
  </si>
  <si>
    <t>地价、全年收益栏空白；赋额壹角叁分</t>
  </si>
  <si>
    <t>县政府、田赋粮食管理处大印，县长兼处长紫色签章</t>
  </si>
  <si>
    <t>①福建省永泰县土地管业执照（民国三十四年，梧字3994号，业主叶文怡）；②残片一条，仅存'县长兼处长''副处长'等字及县印残迹，似另一张执照的左边；③1963年支款凭证（代支出传票），借方科目农业收入，摘要'付用62年收入转入分配'，金额大写一万陆仟叁百壹拾□元玖角弍分，小写6310.92</t>
  </si>
  <si>
    <t>同一件夹中混入1963年人民公社时期的生产队支款凭证，内容与土地执照无关，可能为同一家庭留存。</t>
  </si>
  <si>
    <t>目录仅列1945年执照，未提1963年支款凭证</t>
  </si>
  <si>
    <t>等则读法存疑；支款单位名称（坝□队?）及大小写金额不一致</t>
  </si>
  <si>
    <t>Owner: 葉文怡 [YE Wenyi] -- Place: 福建省永泰縣 [Fujian Sheng Yongtai Xian] -- Government</t>
  </si>
  <si>
    <t>中华民国（三十四年下期并征三十五年上期）年月日空白</t>
  </si>
  <si>
    <t>林森田赋粮食管理处</t>
  </si>
  <si>
    <t>征收机关；乡镇办事处主任、稽征员签章栏</t>
  </si>
  <si>
    <t>黄生官（?）</t>
  </si>
  <si>
    <t>林森县</t>
  </si>
  <si>
    <t>林森县某乡镇（住址栏字迹难辨）</t>
  </si>
  <si>
    <t>业户田亩（亩分约伍亩?），征实约弍石陆斗余、征借等栏有手填数字，字迹潦草</t>
  </si>
  <si>
    <t>田赋征实、征借粮谷若干石斗（手填数字难辨）</t>
  </si>
  <si>
    <t>盖林森田赋粮食管理处大印及县处印，腾字第041404号，紫色号码戳0006□8</t>
  </si>
  <si>
    <t>同一纸两联：①林森田赋粮食管理处三十四年下期并征三十五年上期征收田赋及征借粮食带征省县公粮收据；②三十四年度随赋征借粮食抵纳田赋凭证（言明于民国三十九年至四十四年期间一次偿还抵赋）</t>
  </si>
  <si>
    <t>战时'征实、征借'田赋制度实物，借粮凭证承诺日后抵赋偿还；收据联业户姓名似写作'黄生发'，凭证联作'黄生官'。</t>
  </si>
  <si>
    <t>手填姓名、亩分、粮额大多潦草难辨</t>
  </si>
  <si>
    <t>Owner: 黃生官 [HUANG Shengguan] -- Place: 福建省林森縣 [Fujian Sheng Linsen Xian] -- Government</t>
  </si>
  <si>
    <t>民国叁十四年十乙月 日</t>
  </si>
  <si>
    <t>林明尊</t>
  </si>
  <si>
    <t>承祖遗下根面全田</t>
  </si>
  <si>
    <t>陈功存（八都）</t>
  </si>
  <si>
    <t>十都墓埕（?）地方土名上竹林等处</t>
  </si>
  <si>
    <t>根面全田乙号，面积乙亩陆分正，等则己等；田赋税照县例完纳，其粮听买主过割入户</t>
  </si>
  <si>
    <t>田根价钱国币壹仟陆佰元正</t>
  </si>
  <si>
    <t>曾侄孙圣乾（?）（代字中见，画押）</t>
  </si>
  <si>
    <t>曾侄孙圣乾（?）（代字中见）</t>
  </si>
  <si>
    <t>断卖，即听陈离佃永远耕作为业，林不得言尽言赎、生端生节</t>
  </si>
  <si>
    <t>契末有'内注不明文字标明'的涂改说明；左侧大字'土契照'（?）。买主陈功存与Folder 165的陈智存同为陈姓'存'字辈，或为同族。</t>
  </si>
  <si>
    <t>坐址'十都墓埕'、代字人名存疑；买主住'八都'系据'送断与八都陈功存'句读</t>
  </si>
  <si>
    <t>Seller: 林明尊 [LIN Mingzun] -- Buyer: 陳功存 [CHEN Gongcun] -- Place: 福建省上竹林 [Fujian Sheng Shangzhulin] -- Personal</t>
  </si>
  <si>
    <t>中华民国 年 月 日（三十五年下期并征三十六年上期）</t>
  </si>
  <si>
    <t>征收机关</t>
  </si>
  <si>
    <t>黄克动（业户）；代理人黄生官</t>
  </si>
  <si>
    <t>□村下保</t>
  </si>
  <si>
    <t>田亩分总额壹亩玖分六厘（?），原应纳赋额壹元弍角□分（?），征实约壹斗余、征借若干</t>
  </si>
  <si>
    <t>田赋征实、征借粮谷（手填数字潦草）</t>
  </si>
  <si>
    <t>林森田赋粮食管理处大印，致字第017293号，墨笔编号1239（?）</t>
  </si>
  <si>
    <t>同一纸两联：①林森田赋粮食管理处三十五年下期并征三十六年上期征收田赋及征借粮食带征省县公粮收据；②三十五年度随赋征借粮食抵纳田赋凭证（言明于民国四十年至四十四年期间一次偿还抵赋）</t>
  </si>
  <si>
    <t>业户黄克动由黄生官代理纳粮，与Folder 168、185、186的黄生官相连；与Folder 171为同一号（017293）的通知单与收据。</t>
  </si>
  <si>
    <t>手填亩分、赋额读法存疑</t>
  </si>
  <si>
    <t>Owner: 黃克動 [HUANG Kedong] -- Place: 福建省林森縣 [Fujian Sheng Linsen Xian] -- Government</t>
  </si>
  <si>
    <t>中华民国 年 月 日通知（三十五年下期并征三十六年上期）</t>
  </si>
  <si>
    <t>发通知单机关</t>
  </si>
  <si>
    <t>征收田赋及征借粮食带征三十五年度积谷通知单；田壹亩玖分六厘（?），原应纳赋额壹元弍角□分（?），实应征□元□角弍分</t>
  </si>
  <si>
    <t>征实、征借粮谷若干（手填）</t>
  </si>
  <si>
    <t>林森田赋粮食管理处大印，致字第017293号</t>
  </si>
  <si>
    <t>与Folder 170同号（017293），一为通知单、一为收据，可对照田赋征收流程。</t>
  </si>
  <si>
    <t>手填数字潦草</t>
  </si>
  <si>
    <t>黄森官等（业户）</t>
  </si>
  <si>
    <t>征收田赋及征借粮食带征积谷通知单；田0亩0分陆厘，原应纳赋额0元0角叁分，实应征0元0角弍分（?）</t>
  </si>
  <si>
    <t>红色长方戳：按每元折征法币□仟零伍元（?）</t>
  </si>
  <si>
    <t>林森田赋粮食管理处大印，致字第016928号，红色折征法币戳</t>
  </si>
  <si>
    <t>面积极小（六厘）；田赋改折征法币，反映通胀时期的折征办法。'黄森官'或即'黄生官'的异写。</t>
  </si>
  <si>
    <t>红色戳记文字难辨</t>
  </si>
  <si>
    <t>Owner: 黃森官等 [HUANG Senguan etc.] -- Place: 福建省林森縣 [Fujian Sheng Linsen Xian] -- Government</t>
  </si>
  <si>
    <t>中华民国三十五年六月 日</t>
  </si>
  <si>
    <t>张学车</t>
  </si>
  <si>
    <t>于民国三十五年五月间买断王依增店屋，旋即转卖（自置）</t>
  </si>
  <si>
    <t>陈书宝</t>
  </si>
  <si>
    <t>福州市</t>
  </si>
  <si>
    <t>福州市五甲街门牌（9）号，属（3）区（21）段（998）地号；1951年契纸作五甲街门牌二七号（?）</t>
  </si>
  <si>
    <t>店屋壹座连同基地，坐西向东五柱直透单棚排，面积5厘4毫，横阔前后约壹丈叁尺陆寸，直深三丈四尺零；东至五甲街、西至邻屋九九七号、南至邻屋九九九号、北至邻屋九九七号，上至椽瓦天、下至砾石地基</t>
  </si>
  <si>
    <t>断国币壹万元正</t>
  </si>
  <si>
    <t>1946年福州市税捐稽征处契税收据；1951年福州市人民政府契纸，钤福州市人民政府印及市长章</t>
  </si>
  <si>
    <t>卖断终休，永不敢别生枝节，有言借凑尽赎之理</t>
  </si>
  <si>
    <t>①卖断契（民国三十五年六月，张学车将福州市五甲街店屋连同基地卖断与陈书宝，国币壹万元）；②福州市税捐稽征处契税收据（民国35年9月28日，纳税人张学车，税额陆仟玖佰叁拾□元）；③福州市人民政府契纸（公元一九五一年九月，承受人陈书宝，原所有人张学车，宅，屋价人民币壹佰捌拾万元，缴纳税额人民币壹拾万捌仟元，市长签章）</t>
  </si>
  <si>
    <t>契末列明并缴王依增断契、樊汝济断契、杨生春断契税证、邹细细佛（?）断契及税证，共捌纸，显示该店屋的上手契链；1949年后又补税换发人民政府契纸。</t>
  </si>
  <si>
    <t>目录把张学车同时列为Buyer，实为其先自王依增买入后转卖</t>
  </si>
  <si>
    <t>契内价款'壹万元'与当时通胀币值不甚相符；门牌号前后不一；1951年契纸部分字被墨渍遮挡</t>
  </si>
  <si>
    <t>Seller: 張學車 [ZHANG Xueche] -- Buyer: 陳書寶 [CHEN Shubao] and 張學車 [ZHANG Xueche] -- Place: 福建省福清縣 [Fujian Sheng Fuqing Xian] -- Government</t>
  </si>
  <si>
    <t>1946 to 1951</t>
  </si>
  <si>
    <t>中华民国三十六年四月 日</t>
  </si>
  <si>
    <t>林森县政府／林森田赋粮食管理处</t>
  </si>
  <si>
    <t>发照机关；县长、处长紫色签章</t>
  </si>
  <si>
    <t>王钟钧</t>
  </si>
  <si>
    <t>林森县□居（?）乡（镇）土名马路下；业主住址林森县□居（?）乡马井村</t>
  </si>
  <si>
    <t>西字第5段第20号，地目田，弍等上则，面积零亩捌分玖厘，附略图（三角形地块）</t>
  </si>
  <si>
    <t>赋额零元四（?）角伍分；地价、收益栏空白</t>
  </si>
  <si>
    <t>西字第005598号；钤林森县政府大印及林森田赋粮食管理处印，县长兼处长紫色签名章，骑缝西字号半印</t>
  </si>
  <si>
    <t>林森县1947年统一换发的土地管业执照，号码连号（西字005584–005599），同一业主名下多块田、基地、荡地同时发照，可还原一户在马井村一带的地产分布。</t>
  </si>
  <si>
    <t>乡镇名首字手写难辨；赋额角数手写似'细'，推测为'肆'</t>
  </si>
  <si>
    <t>Owner: 王鐘鈞 [WANG Zhongjun] -- Place: 福建省林森縣 [Fujian Sheng Linsen Xian] -- Government</t>
  </si>
  <si>
    <t>林森县□居（?）乡（镇）土名马坑；业主住址林森县□居（?）乡马井村</t>
  </si>
  <si>
    <t>西字第5段第32号，地目基地，壹等下则，面积零亩零分柒厘，附略图（小方块）</t>
  </si>
  <si>
    <t>赋额零元零角四（?）分</t>
  </si>
  <si>
    <t>西字第005599号；钤林森县政府大印及林森田赋粮食管理处印，县长兼处长紫色签名章，骑缝西字号半印</t>
  </si>
  <si>
    <t>乡镇名首字手写难辨；赋额分数存疑</t>
  </si>
  <si>
    <t>林修枝</t>
  </si>
  <si>
    <t>其他（荡地）</t>
  </si>
  <si>
    <t>西字第5段第48号，地目荡地，叁等上则（?），面积零亩壹分伍厘，附略图</t>
  </si>
  <si>
    <t>赋额零元零角弍分</t>
  </si>
  <si>
    <t>西字第005590号；钤林森县政府大印及林森田赋粮食管理处印，县长兼处长紫色签名章，骑缝西字号半印</t>
  </si>
  <si>
    <t>乡镇名首字手写难辨；等则叁等存疑</t>
  </si>
  <si>
    <t>Owner: 林修枝 [LIN Xiuzhi] -- Place: 福建省林森縣 [Fujian Sheng Linsen Xian] -- Government</t>
  </si>
  <si>
    <t>西字第5段第19号，地目田，壹等下则，面积壹亩弍分零厘，附略图</t>
  </si>
  <si>
    <t>赋额零元柒角弍分</t>
  </si>
  <si>
    <t>西字第005591号；钤林森县政府大印及林森田赋粮食管理处印，县长兼处长紫色签名章，骑缝西字号半印</t>
  </si>
  <si>
    <t>乡镇名首字手写难辨</t>
  </si>
  <si>
    <t>林森县□居（?）乡（镇）土名门前；业主住址林森县□居（?）乡马井村</t>
  </si>
  <si>
    <t>西字第5段第38号，地目田，壹等下则，面积壹亩壹分伍厘（?），附略图（狭长地块）</t>
  </si>
  <si>
    <t>赋额零元陆角玖分</t>
  </si>
  <si>
    <t>西字第005593号；钤林森县政府大印及林森田赋粮食管理处印，县长兼处长紫色签名章，骑缝西字号半印</t>
  </si>
  <si>
    <t>乡镇名首字手写难辨；面积分位存疑</t>
  </si>
  <si>
    <t>Owner: 林修枝 [LIN Xiuzhi] -- Place: 福建省林森縣 [Fujian Sheng Linsen Xianen] -- Government</t>
  </si>
  <si>
    <t>西字第5段第110号，地目基地，弍等上则，面积零亩弍分捌厘，附略图</t>
  </si>
  <si>
    <t>赋额零元零角壹分</t>
  </si>
  <si>
    <t>西字第005588号；钤林森县政府大印及林森田赋粮食管理处印，县长兼处长紫色签名章，骑缝西字号半印</t>
  </si>
  <si>
    <t>西字第5段第111号，地目基地，弍等上则，面积零亩零分弍厘，附略图（极小）</t>
  </si>
  <si>
    <t>西字第005587号；钤林森县政府大印及林森田赋粮食管理处印，县长兼处长紫色签名章，骑缝西字号半印</t>
  </si>
  <si>
    <t>林森县□居（?）乡（镇）土名坑里；业主住址林森县□居（?）乡马井村</t>
  </si>
  <si>
    <t>田（?）</t>
  </si>
  <si>
    <t>西字第5段第109号，地目农（?）地，弍等上则，面积壹亩壹分零厘，附略图</t>
  </si>
  <si>
    <t>赋额零元伍角伍分</t>
  </si>
  <si>
    <t>西字第005586号；钤林森县政府大印及林森田赋粮食管理处印，县长兼处长紫色签名章，骑缝西字号半印</t>
  </si>
  <si>
    <t>乡镇名首字手写难辨；地目首字似农，存疑</t>
  </si>
  <si>
    <t>林森县□居（?）乡（镇）土名白龙厝前；业主住址林森县□居（?）乡马井村</t>
  </si>
  <si>
    <t>西字第4段第139号，地目田，壹等下则，面积壹亩玖分伍厘，附略图</t>
  </si>
  <si>
    <t>赋额壹元弍角柒分（?）</t>
  </si>
  <si>
    <t>西字第005585号；钤林森县政府大印及林森田赋粮食管理处印，县长兼处长紫色签名章，骑缝西字号半印</t>
  </si>
  <si>
    <t>乡镇名首字手写难辨；赋额元位存疑</t>
  </si>
  <si>
    <t>西字第5段第118号，地目基地，弍等上则，面积零亩零分捌厘，附略图</t>
  </si>
  <si>
    <t>赋额零元零角叁分</t>
  </si>
  <si>
    <t>西字第5589号（墨笔手写编号）；钤林森县政府大印及林森田赋粮食管理处印，县长兼处长紫色签名章，骑缝西字号半印</t>
  </si>
  <si>
    <t>乡镇名首字手写难辨；编号为手写而非印刷号码</t>
  </si>
  <si>
    <t>林森县□居（?）乡（镇）土名白龙坪上；业主住址林森县□居（?）乡马井村</t>
  </si>
  <si>
    <t>西字第4段第222号，地目田，壹等下则，面积零亩玖分零厘，附略图</t>
  </si>
  <si>
    <t>赋额零元伍角四分（?）</t>
  </si>
  <si>
    <t>西字第005584号；钤林森县政府大印及林森田赋粮食管理处印，县长兼处长紫色签名章，骑缝西字号半印</t>
  </si>
  <si>
    <t>中华民国三十六年 月 日</t>
  </si>
  <si>
    <t>发照机关；县长兼处长紫色签名章</t>
  </si>
  <si>
    <t>面主黄克动、根主黄生官</t>
  </si>
  <si>
    <t>林森县邑屿乡土名王（?）桥；业主住址林森县邑屿乡□村下保</t>
  </si>
  <si>
    <t>田（根面分属）</t>
  </si>
  <si>
    <t>邑字第8段第248号，地目田，中则（等次□），面积约壹亩□分（?），附略图标邻地号249、246</t>
  </si>
  <si>
    <t>赋额壹元□角（?），字迹模糊</t>
  </si>
  <si>
    <t>邑字第000500号；林森县政府及田赋粮食管理处大印，县长兼处长紫色签章；附记栏红色长方戳'管业执照照章应归面主收执'</t>
  </si>
  <si>
    <t>业主栏并书'面 黄克动''根 黄生官'，一田两主（田面／田根）正式写进民国土地执照，附记戳注明执照应归面主收执；与Folder 186（邑字000501，黄生官）号码相连。</t>
  </si>
  <si>
    <t>面积、赋额、土名首字手写潦草且纸面污损</t>
  </si>
  <si>
    <t>Owner: 黃克動 [HUANG Kedong] and 黃生官 [HUANG Shengguan] -- Place: 福建省林森縣 [Fujian Sheng Linsen Xian] -- Government</t>
  </si>
  <si>
    <t>中华民国三十六年八（?）月 日</t>
  </si>
  <si>
    <t>黄生官</t>
  </si>
  <si>
    <t>林森县邑屿乡；业主住址林森县邑屿乡</t>
  </si>
  <si>
    <t>邑字第7（?）段第36号，地目田，壹（?）等中则，面积伍亩弍分零厘，附略图标邻地号60、24等</t>
  </si>
  <si>
    <t>赋额叁元叁角捌分</t>
  </si>
  <si>
    <t>邑字第000501号；林森县政府及林森田赋粮食管理处大印，县长兼处长紫色签章</t>
  </si>
  <si>
    <t>黄生官在本批多件出现：Folder 168粮单、170/171为黄克动代理纳粮、185为根主；本件是其名下较大一块田（五亩余）。</t>
  </si>
  <si>
    <t>段号、等则首字、发照月份存疑</t>
  </si>
  <si>
    <t>契尾（官印卖契契本）</t>
  </si>
  <si>
    <t>中华民国卅六年十二月 日（立契日期卅六年十二月）</t>
  </si>
  <si>
    <t>陈朝宝（卖主）</t>
  </si>
  <si>
    <t>契本'卖主'栏</t>
  </si>
  <si>
    <t>陈敦流（?）（买主，契本'姓名'栏）</t>
  </si>
  <si>
    <t>莲峰乡风埔保浮村开元圳（?）</t>
  </si>
  <si>
    <t>地类田，面积壹亩零分零厘，四至、户号、段号栏空白</t>
  </si>
  <si>
    <t>卖价弍拾五万元；应纳契税壹万伍仟元（国币，按6%）</t>
  </si>
  <si>
    <t>福建省林森县政府田赋粮食管理处印发卖契契本，钤县政府及田赋粮食管理处大印多方，县长兼处长紫色签章；乡镇代征戳（附征百分之二十?）；骑缝号税半字</t>
  </si>
  <si>
    <t>契本背面印'契税条例摘要'：卖契税6%、典契4%等，补税、匿报处罚规定齐全，可见1947年通胀时期的税制。</t>
  </si>
  <si>
    <t>目录买主作'陈敦清'，图像末字似'流'，存疑</t>
  </si>
  <si>
    <t>买主名末字、坐落地名、契税数额大写存疑</t>
  </si>
  <si>
    <t>Seller: 陳潮寳 [CHEN Chaobao] -- Buyer: 陳敦清 [CHEN Dunqing] -- Place: 福建省林森縣 [Fujian Sheng Linsen Xian] -- Government</t>
  </si>
  <si>
    <t>中华民国叁拾陆年国历拾月 日</t>
  </si>
  <si>
    <t>黄荣森</t>
  </si>
  <si>
    <t>东山人，承祖父遗传瓦厝；祖父黄钟（知见）在场</t>
  </si>
  <si>
    <t>黄煌（族叔）</t>
  </si>
  <si>
    <t>东山县土名草厝顶</t>
  </si>
  <si>
    <t>瓦厝壹座内厅壹间、屏后房壹间、巷路屏壹个、楼顶楼樯五支、带柳条门壹付、内门窗户扇俱全；四至：前至路、后至本家厝、左至本家厝、右至巷；1952年契纸作东至路边、南至防火巷、西至黄煌厝共墙、北至黄淑真厝共墙，公16段地号114-1</t>
  </si>
  <si>
    <t>国币壹佰万元正</t>
  </si>
  <si>
    <t>谢钟（中证人，画圈）</t>
  </si>
  <si>
    <t>祖父黄钟（知见，画圈）；街长冯赛金（监证人，1952年契纸，钤章）</t>
  </si>
  <si>
    <t>曾笋（代书人，钤'东山代书人'椭圆章）</t>
  </si>
  <si>
    <t>原契为白契，有东山代书人章及'内涂改壹字''内涂销居住弍字'说明；1952年补办福建省人民政府公定典契纸（钤东山县人民政府印、县长签章、印花税票）；附1952年8月14日缴款书契税柒仟伍佰元</t>
  </si>
  <si>
    <t>典期限至伍年终银便之日赎回文契；风雨损坏三年内典主自修，三年以外各开乙半</t>
  </si>
  <si>
    <t>①典契（民国叁拾陆年国历拾月，黄荣森典瓦厝与族叔黄煌，国币壹佰万元）；②认典契（同日，黄煌所立，确认典价壹佰万元、典期五年）；③福建省人民政府公定典契纸（公元1952年7月，东山县县长发给，承受人黄煌，原所有人黄荣森，平房，面积0亩0分6厘7毫，典价人民币零亿零千零百弍拾肆万玖千元，缴纳税额人民币零千零百零拾零万柒千肆百柒拾元，附记典期伍年，贴人民印花税票4枚）；④东山县缴款书收据（1952年8月14日，契税收入柒仟伍佰元，缴款人第八街街政府／黄煌，备注典契）</t>
  </si>
  <si>
    <t>与Folder 166同为东山县、同一代书格式，典契三年内外修缮费分担条款相同；族内（叔侄）出典，并另立'认典契'由承典人确认。</t>
  </si>
  <si>
    <t>目录称Seller/Buyer，实为典契</t>
  </si>
  <si>
    <t>1952年契纸大写数字列法特殊，税额读法存疑</t>
  </si>
  <si>
    <t>Seller: 黃榮森 [HUANG Rongsen] -- Buyer: 黃煌 [HUANG Huang] -- Place: 福建省東山縣 [Fujian Sheng Dongshan Xian] -- Government</t>
  </si>
  <si>
    <t>1947 to 1952</t>
  </si>
  <si>
    <t>188A</t>
  </si>
  <si>
    <t>其他（房屋义卖奖券中奖通知函及私人信函）</t>
  </si>
  <si>
    <t>中华民国卅七年七月十七日</t>
  </si>
  <si>
    <t>上海市救济委员会筹募委员会（房屋义卖部）</t>
  </si>
  <si>
    <t>慈善筹募机构，地址北河南路天后宫桥堍市商会内</t>
  </si>
  <si>
    <t>余挹岩</t>
  </si>
  <si>
    <t>上海市；收件地址四川路270号中国产物保险公司</t>
  </si>
  <si>
    <t>甲种房屋义卖券中奖所得房屋一所（具体房屋未载）</t>
  </si>
  <si>
    <t>筹募委员会红色长方印；无土地税契</t>
  </si>
  <si>
    <t>①上海市救济委员会筹募委员会用笺通知函（民国卅七年七月十七日，致余挹岩君：所购甲种房屋义卖券中奖，收屋证书已填制完毕，请携带中奖字号甲种房屋义卖券暨印鉴来部具领）；②贵州省中小学科学仪器制造厂用笺私人信函（卅七年□月廿日，致'挹岩仁兄'，谈及义卖券中奖、托人代领、签名式样等事，署名似'弟□□'）；③上海市冬令救济委员会房屋义卖部信封（寄四川路270号中国产物保险公司余挹岩先生）</t>
  </si>
  <si>
    <t>1948年上海冬令救济以'房屋义卖券'（彩票式）筹款，中奖者可领取房屋，是罕见的慈善抽奖取得房产的证据；收件人供职于中国产物保险公司。</t>
  </si>
  <si>
    <t>私人信函为行草，署名及多处语句未能确读</t>
  </si>
  <si>
    <t>Owner: 余挹岩 [YU Yiyan] -- Place: 上海市 [Shanghai Shi] -- Property Charity bazaar letter</t>
  </si>
  <si>
    <t>土地所有证（土地执照）</t>
  </si>
  <si>
    <t>7 1949 以后</t>
  </si>
  <si>
    <t>民国（东北解放区）</t>
  </si>
  <si>
    <t>中华民国三十八年三月二十六日</t>
  </si>
  <si>
    <t>东北行政委员会（新金县人民政府）</t>
  </si>
  <si>
    <t>根据中国土地法大纲平分土地后颁发</t>
  </si>
  <si>
    <t>矫世范（户主）；共有人矫刘氏、矫李氏、矫小东、矫二周、矫恒安</t>
  </si>
  <si>
    <t>新金县</t>
  </si>
  <si>
    <t>辽宁省新金县孤山区矫沟村矫沟屯</t>
  </si>
  <si>
    <t>旱田四块：①东河套一级四分九（东至河、西至道、南至道、北至本界）；②东河套二级一亩四分一；③北大地一三级二亩五分九；④北大地一二级一亩三分八；共计五亩八分七；全家人口五名</t>
  </si>
  <si>
    <t>东北行政委员会大红印，靠字第003450号，紫色'辽宁省新金县'戳</t>
  </si>
  <si>
    <t>土改平分土地后颁发的彩印土地执照，印有毛泽东像、高粱图案和农耕图；户主矫世范，共有人含两名'某氏'女性，体现按人口分地；本批唯一非福建文书。</t>
  </si>
  <si>
    <t>目录作'娇世范'，图像为'矫世范'</t>
  </si>
  <si>
    <t>地号'一三级''一二级'含义不明</t>
  </si>
  <si>
    <t>Owner: 嬌世范 [JIAO Shifan] -- Place: 遼寧省新金縣 [Liaoning Sheng Xinjin Xian] -- Government</t>
  </si>
  <si>
    <t>其他（印花税票整版粘贴页）</t>
  </si>
  <si>
    <t>中华人民共和国</t>
  </si>
  <si>
    <t>1949（税票面印年份）</t>
  </si>
  <si>
    <t>华东（税票'华东'字样）</t>
  </si>
  <si>
    <t>其他（印花税票）</t>
  </si>
  <si>
    <t>一纸粘贴约60枚中华人民共和国印花税票（华东区，面值伍百圆，加盖'暂作伍拾圆'），上有紫色骑缝注销章</t>
  </si>
  <si>
    <t>税票合计面值约3000元（暂作价）</t>
  </si>
  <si>
    <t>紫色注销章覆盖税票，字迹无法辨读</t>
  </si>
  <si>
    <t>纸张严重虫蛀；大量改值税票集中贴用，反映建国初期币值调整，原文书主体已不存，无法判断其所附契约。</t>
  </si>
  <si>
    <t>无契文，注销章不可读，所附文书不明</t>
  </si>
  <si>
    <t>Place: 華東 [Huadong(East China)] -- Government</t>
  </si>
  <si>
    <t>其他（人事派令）</t>
  </si>
  <si>
    <t>中华民国卅八年四月弍日</t>
  </si>
  <si>
    <t>交通部公路总局第三区公路工程管理局（局长陈锦松）</t>
  </si>
  <si>
    <t>发令机关</t>
  </si>
  <si>
    <t>赖锜涛（本局福州工程处见习生）</t>
  </si>
  <si>
    <t>福州</t>
  </si>
  <si>
    <t>其他（非土地）</t>
  </si>
  <si>
    <t>令调派该生为本局第十六总段见习生，仍暂支原薪伍拾元</t>
  </si>
  <si>
    <t>原薪伍拾元（月薪）</t>
  </si>
  <si>
    <t>局印，人字第27308号（?）紫色编号</t>
  </si>
  <si>
    <t>与土地无关的人事调令，发于福州解放前四个月；目录所列'Seller: unknown'不适用。</t>
  </si>
  <si>
    <t>目录作卖方未知的土地文书，实为公路局人事派令</t>
  </si>
  <si>
    <t>文号首字及见习生名第二字存疑</t>
  </si>
  <si>
    <t>Seller: unknown -- Place: 福建省福州市 [Fujian Sheng Fuzhou Shi] -- Government</t>
  </si>
  <si>
    <t>中华民国卅捌年古历□月（公定契纸作民国三十八年九月）</t>
  </si>
  <si>
    <t>林登宗（公定契纸作林定宗）</t>
  </si>
  <si>
    <t>自承先祖父遗下之瓦厝；因乏银费用出典，先问叔兄弟侄俱不能承典</t>
  </si>
  <si>
    <t>余鹍溪（公定契纸作余溪）</t>
  </si>
  <si>
    <t>东山（契纸：竹蒲池边）</t>
  </si>
  <si>
    <t>瓦厝壹间，内带灶一个、门窗户扇俱全，并空地；四至（契纸）：东至游岳厝共墙、南至竹蒲池路边、西至竹蒲池路边、北至自己天井边；屋式：厅壹间；面积零亩零分贰厘贰毫；段别公行（?），地号306-2</t>
  </si>
  <si>
    <t>大洋银叁拾圆（契纸典价人民币零亿零千零百叁拾捌万伍千元）</t>
  </si>
  <si>
    <t>许遂（中人并代笔；契纸作中证人）</t>
  </si>
  <si>
    <t>林定吉（街长，监证人，盖章）</t>
  </si>
  <si>
    <t>许遂（中人并代笔）</t>
  </si>
  <si>
    <t>白契补税：1952年东山县福建省人民政府公定典契纸，盖东山县人民政府印、县长签名，贴1949年版人民币印花税票多枚；契税10,400元，附东山县缴款书收据（1952年9月，人民银行收款）</t>
  </si>
  <si>
    <t>典期三年，三年终银便之日赎回文契</t>
  </si>
  <si>
    <t>①出典契字（白契），民国卅捌年古历□月，林登宗将瓦厝一间出典与余鹍溪，大洋银叁拾圆，期限三年；②福建省人民政府公定典契纸（东山县，公元一九五二年九月发给），承受人余溪、原所有人林定宗，典价人民币叁拾捌万伍千元，缴纳税额壹万零肆百元，贴印花税票；③东山县缴款书（第一联收据及另一联），1952年9月，契税收入，金额10,400元，缴款人余溪</t>
  </si>
  <si>
    <t>1949年在东山以大洋银立典的民间白契，1952年依《契税暂行条例》补办公定典契纸并以人民币折价完税，典价由银元换算为人民币38.5万元。契内有内批改涂注字。</t>
  </si>
  <si>
    <t>目录将林定宗/林登宗列为卖主、余溪为买主，实为典契（出典人与承典人）而非买卖</t>
  </si>
  <si>
    <t>立契月份、内批文字（银两换算部分）及中人名'遂'字有存疑；承典人全名余鹍溪的'鹍'字存疑</t>
  </si>
  <si>
    <t>Seller: 林定宗（林登宗？） [LIN Ding(Deng)zong] -- Buyer: 余溪 [YU Xi] -- Place: 福建省東山縣 [Fujian Sheng Dongshan Xian] -- Government</t>
  </si>
  <si>
    <t>1949 to 1952</t>
  </si>
  <si>
    <t>典契（借厝合约字）</t>
  </si>
  <si>
    <t>民国卅八年古历柒月□日（契纸作民国三十八年七月立）</t>
  </si>
  <si>
    <t>沙延德（契纸注沙奕谦）</t>
  </si>
  <si>
    <t>出借（出典）房屋者；刘隹为立合约字人，交付赤金借住</t>
  </si>
  <si>
    <t>刘隹</t>
  </si>
  <si>
    <t>（东山）西门揽茄蓝公庙边</t>
  </si>
  <si>
    <t>瓦厝壹栩带楼，又后房壹栩，另配天井公用；契纸屋式：平房壹间并半楼，另配天井水井公用；四至：东至沙奕谦所边共墙、南至路边、西至巷边、北至沙奕谦前房共墙；面积零亩零分叁厘陆毫</t>
  </si>
  <si>
    <t>赤金旧秤重柒钱正（契纸典价人民币零亿零千零百柒拾五万陆千元）</t>
  </si>
  <si>
    <t>赤金</t>
  </si>
  <si>
    <t>张钟着（中证人；契纸作张钟芝）</t>
  </si>
  <si>
    <t>陈寿卿（街长，监证人，盖章）</t>
  </si>
  <si>
    <t>林启昌（代书人）</t>
  </si>
  <si>
    <t>1952年东山县公定典契纸，盖东山县人民政府印，贴人民币印花税票；典契税弍万弍千陆百元（缴款书），中国人民银行东山支行收讫章1952年9月8日；契纸上另有紫色戳记（期限叁年等）</t>
  </si>
  <si>
    <t>期限至叁年终，届期厝金两相交换，以完手续</t>
  </si>
  <si>
    <t>①借厝合约字，民国卅八年古历柒月□日，刘隹以赤金旧秤柒钱借住沙延德瓦厝，期限三年，届期厝金两相交换；②福建省人民政府公定典契纸（东山县，公元一九五二年九月发给），承受人刘隹、原所有人沙延德（沙奕谦），典价人民币柒拾五万陆千元，税额弍万弍千陆百元，期限叁年；③东山县缴款书（东财字），1952年9月6日填发，典契税，人民银行东山支行9月8日收讫</t>
  </si>
  <si>
    <t>以黄金（赤金旧秤）计价的借厝合约，实际为典屋，1952年补办典契纸。合约正文与签押处有指模（墨圈）。</t>
  </si>
  <si>
    <t>目录作卖主刘隹、买主沙延德，实际为刘隹交金借住（承典）沙延德房屋，双方角色相反且非卖契</t>
  </si>
  <si>
    <t>立约日期日数不清；典价'柒拾五万陆千元'及税额尾数存疑；中证人名'着/芝'两处写法不同</t>
  </si>
  <si>
    <t>Seller: 劉隹 [LIU Zhui] -- Buyer: 沙延德 [SHA Yande] -- Place: 福建省東山縣 [Fujian Sheng Dongshan Xian] -- Government</t>
  </si>
  <si>
    <t>土地所有证</t>
  </si>
  <si>
    <t>公元</t>
  </si>
  <si>
    <t>一九五一年□月□日</t>
  </si>
  <si>
    <t>王萃延等（户内：王萃延、余罗(?)、王海上、王海义、王天赐、王天化）</t>
  </si>
  <si>
    <t>男女合立</t>
  </si>
  <si>
    <t>南安县第拾壹区紫阳乡下房村居民，本户全家共有</t>
  </si>
  <si>
    <t>南安县</t>
  </si>
  <si>
    <t>南安县第拾壹区紫阳乡（镇）下房村</t>
  </si>
  <si>
    <t>田＋屋／厝＋地基／屋地</t>
  </si>
  <si>
    <t>可耕地叁拾段（坵）、非耕地壹段（坵）；房屋玖间、地基伍段（坵）；土地坐落村北、村东等处，地名如寮项、墩后、望溪门口、溪园、后园、溪尾下、下塘等</t>
  </si>
  <si>
    <t>福建省南安县土地房产所有证，南字第034062号，盖南安县人民政府印，县长马鸣琴(?)签章</t>
  </si>
  <si>
    <t>土改后颁发的土地房产所有证，户内人名多为王姓，四至邻人多为王姓（王海杉、王萃埔、王萃制等），反映单姓村落。</t>
  </si>
  <si>
    <t>亩分厘毫具体数字、户主名后第二人'余罗'及县长名存疑；发证月日空白或不清</t>
  </si>
  <si>
    <t>Owner: 王萃延 [WANG Cuiyan] -- Place: 福建省南安縣 [Fujian Sheng Nan'an Xian] -- Government</t>
  </si>
  <si>
    <t>一九五壹年拾月拾柒日</t>
  </si>
  <si>
    <t>黄生官、黄宝添、黄宽海(?)</t>
  </si>
  <si>
    <t>闽侯县第肆区辅翼乡村里村居民，本户全家共有</t>
  </si>
  <si>
    <t>闽侯县第肆区辅翼乡（镇）村里村</t>
  </si>
  <si>
    <t>田＋其他（草堆地、粪池、余地）＋屋／厝</t>
  </si>
  <si>
    <t>可耕地若干段计肆亩壹分弍厘零毫（?）、非耕地零亩零分伍厘陆毫；房屋叁间，地基零亩零分陆厘零毫；田坐落伍弄(?)桥、石连浦、下卅山、盘古庙等，另有粪池、草堆地、草灰地、余地在村里</t>
  </si>
  <si>
    <t>福建省闽侯县土地房产所有证，闽侯四字第0228(?)号，盖闽侯县人民政府印，县长签章（紫色）</t>
  </si>
  <si>
    <t>地块座落栏均盖'辅翼'紫色戳；登记有粪池、草堆地、草灰地等农家附属用地。</t>
  </si>
  <si>
    <t>第三户人名、可耕地段数与亩数、证号存疑</t>
  </si>
  <si>
    <t>Owner: 黃生官 [HUANG Shengguan] -- Place: 福建省閩侯縣 [Fujian Sheng Minhou Xian] -- Government</t>
  </si>
  <si>
    <t>195A</t>
  </si>
  <si>
    <t>其他（继承契）</t>
  </si>
  <si>
    <t>公元一九五一年四月□日</t>
  </si>
  <si>
    <t>王细细俤</t>
  </si>
  <si>
    <t>原承祖遗阄分份下之业；父暨祖父均已病故，由俤继承；民国二十三年五月已立契价卖与王炳凯，为契税需要补立继承契</t>
  </si>
  <si>
    <t>王炳凯</t>
  </si>
  <si>
    <t>闽侯横山铺秋龙社高顶埕地方，警编门牌第弍号，土地登记第三区十八段第四七八号</t>
  </si>
  <si>
    <t>坐南朝北厝屋壹座，叁柱叁榈排厝屋，计楼房弍堵、平房壹堵，门窗户扇楼地坪等俱全；面积零亩零分肆厘捌毫；直深壹丈陆尺零、横阔叁丈柒尺零；六至：前至天井、后至墙、左至廊(?)、右至王家屋、上至椽(?)、下至磉石地基</t>
  </si>
  <si>
    <t>无官印；立契人王细细俤私章一方</t>
  </si>
  <si>
    <t>这是为补缴契税而补立的继承契，用来证明卖主对1934年（民国二十三年）已卖出房产的继承权，属于新政权下契税稽核的配套文书。契尾注'添下宬埕三字，涂四字，改六字'。</t>
  </si>
  <si>
    <t>目录将卖主译作'王细细之弟'，'俤'为福州话名字用字，立契人即王细细俤本人；且本件是继承契而非卖契</t>
  </si>
  <si>
    <t>左至廊□'及'上至□'字存疑</t>
  </si>
  <si>
    <t>Seller: 王細細弟 [Younger brother of WANG Xixi] -- Buyer: 王炳凱 [WANG Bingkai] -- Place: 福建省閩侯縣 [Fujian Sheng Minhou Xian] -- Personal</t>
  </si>
  <si>
    <t>一九五二年三月□日</t>
  </si>
  <si>
    <t>林宗、吴淑珍、林涯、林贡</t>
  </si>
  <si>
    <t>晋江县田边村居民，本户全家共有；吴淑珍为女性</t>
  </si>
  <si>
    <t>晋江县第□区丰光(?)乡（镇）田边村</t>
  </si>
  <si>
    <t>可耕地壹拾弍(?)段、非耕地肆段；房屋伍间（祖厝平屋壹、新厝边平屋弍等），地基叁段计零亩壹分叁厘零毫；田地座落洪亮官、犬头山、圩路沟、赤土仔、墙基潭、宫口、树林等</t>
  </si>
  <si>
    <t>福建省晋江县土地房产所有证，晋字第22023号，盖晋江县人民政府印，县长高□签章（紫色）</t>
  </si>
  <si>
    <t>四至邻人几乎全为林姓（林接、林镇、林荣等）及李姓，显示林姓聚居村。</t>
  </si>
  <si>
    <t>区号、乡名、可耕地亩数存疑</t>
  </si>
  <si>
    <t>Owner: 林宗 [LIN Zong] 吳淑珍 [WU Shuzhen] 林涯 [ LIN Ya] and 林貢 [LIN Gong] -- Place: 福建省晉江縣 [Fujian Sheng Jinjiang Xian] -- Government</t>
  </si>
  <si>
    <t>一九五二年二月□日</t>
  </si>
  <si>
    <t>施性固、颜蒜、施能锁、施松柏、吴李沓(?)</t>
  </si>
  <si>
    <t>晋江县第十二区山苏乡东(?)房村居民，本户全家共有；颜蒜、吴李沓或为女性</t>
  </si>
  <si>
    <t>晋江县第十二区山苏乡（镇）东□房村</t>
  </si>
  <si>
    <t>田＋园</t>
  </si>
  <si>
    <t>可耕地伍段（坵）、非耕地壹段（坵），共计肆亩捌分弍厘零毫；房屋零间、地基零段；地名湖漏边、沟东、穴南、西路、蔗埔口、厝边等；四至多为沟、岸中、水沟、路、能锁地、荒地；备考记“渥一个”“碧(?)壹个”</t>
  </si>
  <si>
    <t>福建省晋江县土地房产所有证，晋字第232991号，盖晋江县人民政府印，县长高□（紫色签章）</t>
  </si>
  <si>
    <t>全户只有土地、没有房屋登记。施姓户与同批晋江施姓文书（施至尚、施性楼等）同属施姓聚居区，但乡名不同。</t>
  </si>
  <si>
    <t>村名、第五位户人名及若干亩分数字存疑</t>
  </si>
  <si>
    <t>Owner: 施性固 [SHI Xinggu] 顏蒜 [YAN Suan] 施能鎖 [SHI Nengsuo] and 施松柏 [SHI Songbai] -- Place: 福建省晉江縣 [Fujian Sheng Jinjiang Xian] -- Government</t>
  </si>
  <si>
    <t>公元壹九五弍年新历陆月□日</t>
  </si>
  <si>
    <t>沙群（沙秀玉）</t>
  </si>
  <si>
    <t>承祖遗业；因乏用出典；母亲陈秀眉知见</t>
  </si>
  <si>
    <t>朱发</t>
  </si>
  <si>
    <t>东山澳雅头打缭街大宫边</t>
  </si>
  <si>
    <t>店壹间带楼顶厅壹间并屏后房壹间，走马路壹所，内门窗户扇俱全，店后小天井水井壹口公用；四至：东至巷边、南至沙群等共墙、西至黄益等共墙、北至海边；面积零亩零分伍厘肆毫</t>
  </si>
  <si>
    <t>人民币玖拾万元整（契纸：零亿零千零百九拾零万零千元）</t>
  </si>
  <si>
    <t>人民币</t>
  </si>
  <si>
    <t>林和（中证人）</t>
  </si>
  <si>
    <t>陈秀眉（知见，出典人母亲）；陈寿卿（街长，监证人，盖章）</t>
  </si>
  <si>
    <t>黄明德（代书）</t>
  </si>
  <si>
    <t>1952年东山县公定典契纸，盖东山县人民政府印，县长签名，贴人民币印花税票；契税27,000元，缴款书备注“系充典契税(?)”；中国人民银行东山支行收讫章；原契盖红色骑缝印</t>
  </si>
  <si>
    <t>限至肆年终，币便之日赎回文契；三年内被风雨损坏由出典人自理，三年以外各开壹年</t>
  </si>
  <si>
    <t>①立典契（白契），公元壹九五弍年新历陆月□日，东山沙群（沙秀玉）将祖遗店壹间典与东山朱发，人民币玖拾万元；②福建省人民政府公定典契纸，东契字第□号，承受人朱发、原所有人沙群（沙秀玉），1952年7月东山县发给，典期四年，完税额弍万柒千元；③东山县缴款书（东财字第02102号），1952年9月5日填发，契税收入27,000元，人民银行东山支行收讫</t>
  </si>
  <si>
    <t>批明承典人每年愿纳店租白米弍拾叁市斤给出典人，典契同时带租佃性质。监证人陈寿卿与Folder 193同为街长，沙姓出典人亦与Folder 193的沙延德同姓。</t>
  </si>
  <si>
    <t>目录将朱发列为卖主；实为承典人，出典人是沙群（沙秀玉）</t>
  </si>
  <si>
    <t>原契日期日数空缺；契纸号码不清</t>
  </si>
  <si>
    <t>Seller: 朱發 [ZHU Fa ] -- Place: 福建省東山縣 [Fujian Sheng Dongshan Xian] -- Government</t>
  </si>
  <si>
    <t>中华民国叁拾捌年国历拾月□日</t>
  </si>
  <si>
    <t>许其和</t>
  </si>
  <si>
    <t>承祖父遗下；因乏项费用出典，先尽房亲人等俱不欲承受；母亲许陈氏知见</t>
  </si>
  <si>
    <t>孙宗馨</t>
  </si>
  <si>
    <t>东山大井保拾四甲叁户（契纸：挑水街大学边）</t>
  </si>
  <si>
    <t>厝壹座，内厅壹房间，门窗户扇俱全，天井水井门户出入概公用；契纸屋式：前座厅边房一间、厅一间、伙食房一间、天井；四至：东至路边、南至叶(?)主后房、西至翁顺喜共墙、北至本家共有天井；面积零亩零分弍厘弍毫；段别公字18，地号146</t>
  </si>
  <si>
    <t>足赤金旧秤壹两柒钱正（契纸典价人民币零亿零千壹百捌拾叁万陆千元）</t>
  </si>
  <si>
    <t>林金锡（中证人）</t>
  </si>
  <si>
    <t>许陈氏（知见，出典人母亲）；陈文水（街长，监证人，盖章）</t>
  </si>
  <si>
    <t>刘泗宝（代笔）</t>
  </si>
  <si>
    <t>1952年东山县公定典契纸，盖东山县人民政府印，县长签名，蓝色骑缝戳；税额人民币伍万伍千壹百零拾元</t>
  </si>
  <si>
    <t>限至伍年终足赤金额便之日赎回文契；三年内被风雨损坏出典人自修，三年以外各开</t>
  </si>
  <si>
    <t>①立出典契（白契），中华民国叁拾捌年国历拾月，东山许其和将祖父遗下厝壹座典与东山孙宗馨，足赤金旧秤壹两柒钱正，限至伍年终；②福建省人民政府公定典契纸，承受人孙宗馨、原所有人许其和，1952年6月东山县发给，典价人民币壹百捌拾叁万陆千元，税额伍万伍千壹百元，典期伍年</t>
  </si>
  <si>
    <t>与Folder 193同类：1949年以黄金计价的民间典契，1952年补税时折成人民币。签押处画圈。</t>
  </si>
  <si>
    <t>目录将孙宗馨列为卖主；实为承典人，出典人是许其和</t>
  </si>
  <si>
    <t>南至邻人“叶主”存疑</t>
  </si>
  <si>
    <t>Seller: 孫宗馨 [SUN Zongxin ] -- Place: 福建省東山縣 [Fujian Sheng Dongshan Xian] -- Government</t>
  </si>
  <si>
    <t>一九五二年五月十日</t>
  </si>
  <si>
    <t>黄滑、黄噜、黄世、连芳</t>
  </si>
  <si>
    <t>南安县第拾区文斗乡圳乾村居民，共有</t>
  </si>
  <si>
    <t>南安县第拾区文斗乡（镇）圳乾村</t>
  </si>
  <si>
    <t>屋／厝＋地基／屋地</t>
  </si>
  <si>
    <t>可耕地、非耕地均零段；房屋叁间、地基壹段，计零亩叁分(?)肆厘；坐落圳乾，平房叁间；四至：东至黄噜厅轩共有天井，南、北至黄滑大房、黄世大房；地基长宽拾壹尺、拾壹尺</t>
  </si>
  <si>
    <t>福建省南安县土地房产所有证，南字第193162号，盖南安县人民政府印，县长马鸣琴(?)签章（蓝色）</t>
  </si>
  <si>
    <t>只登记房屋地基，没有耕地。备考写“此厝所天井由黄滑保管使用照旧”，并加盖私章。</t>
  </si>
  <si>
    <t>地基面积数字、县长名存疑</t>
  </si>
  <si>
    <t>Owner: 黃滑 [HUANG Hua] 黃嚕 [ HUANG Lu] 黃世 [HUANG Shi] and 連芳 [LIAN Fang] -- Place: 福建省南安縣 [Fujian Sheng Nan'an Xian] -- Government</t>
  </si>
  <si>
    <t>一九五二年六月六日</t>
  </si>
  <si>
    <t>李水旺、陈连玉、李义妹、李义草</t>
  </si>
  <si>
    <t>邵武县第壹区山溪(?)乡香山村居民，本户全家共有；陈连玉、李义妹或为女性</t>
  </si>
  <si>
    <t>邵武县</t>
  </si>
  <si>
    <t>邵武县第壹区山溪(?)乡（镇）香山村，危家坪村</t>
  </si>
  <si>
    <t>田＋屋／厝</t>
  </si>
  <si>
    <t>可耕地拾段（坵），拾叁亩(?)零分陆厘零毫；房屋肆间（瓦屋）、地基壹段零亩柒分零厘；田均坐落危家坪村前、后、右，地名沟门口、厝下毛、木连地、杨梅树窠下、企垅、苦珠树、大水沟、黄竹排、马池窖、高家门口；备考记各坵原地册号（38/81、38/91、39/230等）</t>
  </si>
  <si>
    <t>福建省邵武县土地房产所有证，邵武一字第零叁壹叁伍号，盖邵武县人民政府印，县长郭洪之（蓝色签章）；顶部蓝色戳“按照土地改革法第三十条规定，此证发给后过去旧契约一律作废”</t>
  </si>
  <si>
    <t>顶部戳记明确宣告旧契约一律作废，可以看出土地证取代了旧地契的效力。备考记有原地籍册编号。</t>
  </si>
  <si>
    <t>乡名“山溪”及可耕地总亩数存疑</t>
  </si>
  <si>
    <t>Owner: 李水旺 [LI Shuiwang] 陳連玉 [CHEN Lianyu] 李義妹 [LI Yimei] and 李義草 [LI Yicao] -- Place: 福建邵武縣 [Fujian Sheng Shaowu Xian] -- Government</t>
  </si>
  <si>
    <t>一九五三年三月五日</t>
  </si>
  <si>
    <t>户主李银山；妻张心意、女李富珍、子李富伦、女李富芝</t>
  </si>
  <si>
    <t>户主李银山（中农），全家共有</t>
  </si>
  <si>
    <t>合川县</t>
  </si>
  <si>
    <t>川东区合川县第龙市区古城乡（镇）贰村</t>
  </si>
  <si>
    <t>田＋其他（土、荒坝）＋屋／厝</t>
  </si>
  <si>
    <t>可耕地叁段（坵）、非耕地壹段；房屋（窑洞）叁间（草屋）、地基壹段；土地均坐落回龙寺，种类为水田、旱田、土、荒坝，地名水竹林；备考记拾肆坵、拾伍坵、蔓池叁佰(?)、竹子叁拾伍窝、楠(?)树贰根等附属物</t>
  </si>
  <si>
    <t>川东区合川县土地房产所有证，合地字第壹肆壹壹捌伍号，盖合川县人民政府印，县长签名（紫色）</t>
  </si>
  <si>
    <t>四川文书，顶部印有毛泽东像与红旗，填写了全家成员姓名和阶级成分（中农），并有“常年应产量”栏。</t>
  </si>
  <si>
    <t>目录作四川省合川县，证书原文为“川东区合川县”（1950–1952年川东行署区建制）</t>
  </si>
  <si>
    <t>村名、亩分数字及县长名存疑</t>
  </si>
  <si>
    <t>Owner: 李銀山 [LI Yinshan] -- Place: 四川省合川縣 [Sichuan Sheng Hechuan Xian] -- Government</t>
  </si>
  <si>
    <t>一九五三年□月□日（契纸立契日期五三、八）</t>
  </si>
  <si>
    <t>陈佃（旁注王南叶?）</t>
  </si>
  <si>
    <t>住华峰乡龙穿(?)村；按指模</t>
  </si>
  <si>
    <t>施至尚</t>
  </si>
  <si>
    <t>晋江县华峰乡龙穿(?)村，西园(?)后山</t>
  </si>
  <si>
    <t>土地，面积零亩柒分壹厘零毫；四至：东至自岸(?)、南至毛仔地、西至水沟、北至(施至)祥地</t>
  </si>
  <si>
    <t>估价弍拾叁万元正（人民币）</t>
  </si>
  <si>
    <t>施性楼（中证人）</t>
  </si>
  <si>
    <t>施至祥（产邻）；施□□（乡长）；施光来（农会主席，监证人）</t>
  </si>
  <si>
    <t>施至□（代笔人）</t>
  </si>
  <si>
    <t>晋江县人民政府公定草契纸与公定契纸，盖晋江县人民政府印、晋江县华峰乡人民政府印、税契专用印；县长签名（紫色）；贴印花税票</t>
  </si>
  <si>
    <t>①福建省晋江县人民政府公定草契纸（分拆），编号029315，原所有人陈佃（王南叶?），承受人施至尚，均住华峰乡龙穿(?)村，估价弍拾叁万元，乡长、农会主席监证；②福建省人民政府公定契纸（分拆），编号2222，承受人施至尚、原所有人陈佃，立契日期五三·八，1953年8月15日晋江县发给；③贴1949年版“暂作壹佰圆”印花税票多枚，加紫色注销戳</t>
  </si>
  <si>
    <t>1953年土改后的土地买卖，先在草契纸上由乡长、农会主席监证，再换发正式契纸。立契人名字旁注“王南叶”，并按指模。</t>
  </si>
  <si>
    <t>原所有人旁注名、村名、四至及代笔人、乡长名字均为草书，存疑</t>
  </si>
  <si>
    <t>Seller: 陳佃 [CHEN Dian] -- Buyer: 施至尚 [SHI Zhishang] -- Place: 福建省晉江縣 [Fujian Sheng Jinjiang Xian] -- Government</t>
  </si>
  <si>
    <t>公元壹玖伍叁年玖月壹日</t>
  </si>
  <si>
    <t>方围九</t>
  </si>
  <si>
    <t>住东山县城关区第三街太堤下巷门牌6号；因乏项费用将自己土地上的房屋出典</t>
  </si>
  <si>
    <t>林武</t>
  </si>
  <si>
    <t>东山县城关区第二街文公祠脚门牌171号</t>
  </si>
  <si>
    <t>房屋壹座，面积零亩零分陆厘叁毫，建筑屋式弍楼，楼顶前房壹间后房壹间，楼下大厅、后房、天井水井门路公用，计共叁间；四至：东至高立厝共墙、南至公路边、西至公巷边、北至山大石前；正字第4段，地号113</t>
  </si>
  <si>
    <t>人民币壹佰陆拾万元</t>
  </si>
  <si>
    <t>方添喜（中证人）</t>
  </si>
  <si>
    <t>张崔（第二街街长，监证人，盖章）</t>
  </si>
  <si>
    <t>朱占芳（代书人）</t>
  </si>
  <si>
    <t>1953年东山县公定典契纸，盖东山县人民政府印，县长签名，贴1949年版人民币印花税票五枚；契税48,000元，缴款书附人民银行收讫戳1953年11月</t>
  </si>
  <si>
    <t>限至叁年终，项便之日赎回文契</t>
  </si>
  <si>
    <t>①立典契（白契），公元壹玖伍叁年玖月壹日，方围九将楼房典与东山县城关区第一街林武，人民币壹佰陆拾万元，期限叁年；②福建省人民政府公定典契纸，承受人林武、原所有人方围九，1953年11月29日东山县发给，完税额肆万捌千元；③东山县缴款书（□财字第533号），1953年11月30日填发，契税收入48,000元（备注典契），中国人民银行东山支行城关办理处收讫</t>
  </si>
  <si>
    <t>1953年新立的典契，与1949年旧典契补税的情形不同，是新政权下直接以人民币立典。契上有内注改字和指模。</t>
  </si>
  <si>
    <t>目录作卖主/买主，实为出典人与承典人</t>
  </si>
  <si>
    <t>缴款书字号首字存疑</t>
  </si>
  <si>
    <t>Seller: 方圍九 [FANG Weijiu] -- Buyer: 林武 [LIN Wu] -- Place: 福建省東山縣 [Fujian Sheng Dongshan Xian] -- Government</t>
  </si>
  <si>
    <t>一九五三年□月□日（契纸立契日期五三年八月）</t>
  </si>
  <si>
    <t>晋江县华峰乡龙穿(?)村，九十六号(?)内</t>
  </si>
  <si>
    <t>土地，面积零亩捌分柒厘零毫（草契作捌分柒厘?）；四至：东至水沟、南至性哈(?)地、西至性羽地、北至自己岸</t>
  </si>
  <si>
    <t>估价弍拾柒万(?)元正（人民币）</t>
  </si>
  <si>
    <t>施性羽（产邻）；施□□（乡长）；施光来（农会主席，监证人）</t>
  </si>
  <si>
    <t>施至述(?)（代笔人）</t>
  </si>
  <si>
    <t>晋江县人民政府公定草契纸与公定契纸，盖晋江县人民政府税契专用印、华峰乡人民政府印；县长签名（紫色）；贴印花税票十枚</t>
  </si>
  <si>
    <t>①福建省人民政府公定契纸（分拆），编号2224，承受人施至尚、原所有人陈佃，土地坐落九十六号(?)内，立契日期五三年八月，1953年8月17日晋江县发给；②福建省晋江县人民政府公定草契纸（分拆），编号029313，原所有人陈佃（王南叶?）、承受人施至尚，均住华峰乡龙穿(?)村，估价弍拾柒万(?)元；③草契纸背面贴1949年版“暂作壹佰圆”印花税票十枚，加紫色注销戳</t>
  </si>
  <si>
    <t>与Folder 203、208为同一组交易：陈佃在1953年8月把至少三块地卖给施至尚，契纸编号2221、2222、2224，草契编号029313–029315连号。</t>
  </si>
  <si>
    <t>估价第三字、面积、四至及坐落均为草书，存疑</t>
  </si>
  <si>
    <t>一九五三年肆月拾叁日</t>
  </si>
  <si>
    <t>户主李文富；妻李阿凤、男李德标</t>
  </si>
  <si>
    <t>鹤庆县第六区第二乡文登村居民，本户全家共有</t>
  </si>
  <si>
    <t>鹤庆县</t>
  </si>
  <si>
    <t>云南省鹤庆县第六区第二乡（镇）文登村</t>
  </si>
  <si>
    <t>可耕田柒段（坵）、可耕地壹段，共计叁亩叁分叁厘(?)；瓦房叁间、地基壹段（文登瓦房叁间，折叁分陆厘）；田坐落村南、村西、河西、村东等，种类为水田、秧田、园地；四至邻人有施世根、杨学芳、李友福、施文先、张世朋、沙垬、施春明、董素林、董耀祖、施阿敦、董金浩、李子清等</t>
  </si>
  <si>
    <t>云南省鹤庆县土地房产所有证，鹤字第弍肆壹弍陆号，盖鹤庆县人民政府印，县长签名（紫色）</t>
  </si>
  <si>
    <t>顶部印有毛泽东像与红旗；原田地单位与折标准亩数并列，可见当地旧亩与标准亩的换算。</t>
  </si>
  <si>
    <t>可耕地段数、亩分数字及县长名存疑</t>
  </si>
  <si>
    <t>Owner: 李文富 [LI Wenfu] -- Place: 雲南省鶴慶縣 [Yunnan Sheng Heqing Xian] -- Government</t>
  </si>
  <si>
    <t>一九五二年四月四日</t>
  </si>
  <si>
    <t>蓝福良；夫蓝其沛(?)、子蓝厥祥</t>
  </si>
  <si>
    <t>荣县第叁区金农(?)乡团山村居民，本户全家共有；蓝福良有“夫”列名，应为女性户主</t>
  </si>
  <si>
    <t>荣县</t>
  </si>
  <si>
    <t>川南区荣县第叁区金农(?)乡（镇）团山村</t>
  </si>
  <si>
    <t>田＋其他（土）＋屋／厝</t>
  </si>
  <si>
    <t>可耕地田壹、土柒段(?)，共计壹亩陆分伍毫(?)；房屋瓦房贰间半、地基；地名小冲田、坝手土、斜土、公塘土、干田土、大方土、加担土、堰塘土、垇土、坝院等，原田地单位以挑、升、合计；备考记柏树、竹林及“本户与蓝其全名下证册共有”等</t>
  </si>
  <si>
    <t>川南区荣县土地房产所有证，荣地证字第018634号，盖荣县人民政府印，县长陈玉祥、副县长魏景魁签章</t>
  </si>
  <si>
    <t>户主可能为女性（名后列“夫”“子”）；原田单位用“挑、升、合”，反映川南以产量计田的习惯。顶部印毛泽东像与红旗。</t>
  </si>
  <si>
    <t>目录日期为1953，证书发证日期为一九五二年四月四日；目录作四川省，原文为“川南区”</t>
  </si>
  <si>
    <t>乡名、亩数、户主丈夫名存疑；户主性别为推断</t>
  </si>
  <si>
    <t>Owner: 藍福良 [LAN Fuliang] -- Place: 四川省榮縣 [Sichuan Sheng Rong Xian] -- Government</t>
  </si>
  <si>
    <t>住十九区(?)华峰乡龙穿(?)村；按指模</t>
  </si>
  <si>
    <t>晋江县华峰乡龙穿(?)村，东后路</t>
  </si>
  <si>
    <t>土地，面积零亩陆分捌厘零毫；四至：东至自己岸、南至琴仔地、西至路、北至光敬(?)地</t>
  </si>
  <si>
    <t>估价弍拾捌(?)万元正（人民币）</t>
  </si>
  <si>
    <t>施光亲(?)（产邻）；施□□（乡长）；施光来（农会主席，监证人）</t>
  </si>
  <si>
    <t>晋江县公定草契纸与公定契纸，盖晋江县人民政府税契专用印、华峰乡人民政府印；县长签名（紫色）；印花税票；契税缴款书附国家金库晋江支库收款戳，税率按卖契</t>
  </si>
  <si>
    <t>①福建省人民政府公定契纸（分拆），编号2221，承受人施至尚、原所有人陈佃，坐落东后路，立契日期五三·八，1953年8月15日晋江县发给；②福建省晋江县人民政府公定草契纸（分拆），编号029314，原所有人陈佃（王南叶?）住十九区(?)华峰乡龙穿村，承受人施至尚，估价弍拾捌(?)万元；③草契纸背面贴1949年版“暂作壹佰圆”印花税票一列八枚以上，紫色注销；④契税缴款书（第一联收据），纳税人施至尚，1953年8月填发，税额大写“伍仟(?)贰佰捌拾(?)”，国家金库晋江支库收款戳</t>
  </si>
  <si>
    <t>四件之中唯一保留契税缴款书的一件，可以看到1953年晋江契税的实际缴纳流程（草契→契纸→缴款书）。</t>
  </si>
  <si>
    <t>估价、税额、四至、产邻名均为草书，存疑</t>
  </si>
  <si>
    <t>Seller: 陳佃 [CHEN Dian] -- Buyer: 施至尚 [SHI Zhishan] -- Place: 福建省晉江縣 [Fujian Sheng Jinjiang Xian] -- Government</t>
  </si>
  <si>
    <t>公元一九五四年捌月□日</t>
  </si>
  <si>
    <t>林清</t>
  </si>
  <si>
    <t>住东山县城关区第壹街门牌168号；因乏费用将自己土地上的房屋出典</t>
  </si>
  <si>
    <t>陈蕃薯</t>
  </si>
  <si>
    <t>东山县城关区第一街三仙洞，门牌168号</t>
  </si>
  <si>
    <t>平房：前座房壹间、厅壹间、屏后房壹间、猪寮壹个、天井壹块，计共叁间（一切土木石器相连在内）；面积零亩零分柒厘零毫；四至：东至朱天赐等厝共墙、南至路边、西至巷边、北至本家滴水；正字第4段，等级第柒等</t>
  </si>
  <si>
    <t>人民币捌拾万元（契纸典价零亿零千零百捌拾零万零千零百零拾元）</t>
  </si>
  <si>
    <t>黄兴（第一街街长，监证人，盖章）</t>
  </si>
  <si>
    <t>欧尧(?)（代书人）</t>
  </si>
  <si>
    <t>1954年东山县公定典契纸，盖东山县人民政府税契专用印、县长签名；原契贴1952年版人民币印花税票三枚并加盖紫色戳；契税24,000元及契纸工本费两张缴款书，中央金库东山支库收讫1954年8月11日</t>
  </si>
  <si>
    <t>典期陆年，自1954年12月25日起至1960年12月25日期限届满，币便之日赎回文契；批明典期在限加四个月（?）</t>
  </si>
  <si>
    <t>①立出典契（白契），公元一九五四年捌月立，林清将三仙洞平房典与陈蕃薯，典期自1954年12月25日起至1960年12月25日；②福建省人民政府公定典契纸，承受人陈蕃薯、原所有人林清，立契日期1954年捌月，东山县发给，典价人民币捌拾万元，缴纳税额弍万肆千元，贴1952年版印花税票三枚（原契上）；③东山县缴款书（县财字第1521号），1954年8月11日填发，契税收入24,000元，备注典契；④东山县缴款书（县财字第1522号），1954年8月11日填发，其他收入·规费收入·其他规费1,500元(?)，备注契纸工本费；均盖东山县人民政府财政科印，中央金库东山支库城关经收处收讫</t>
  </si>
  <si>
    <t>契内写明“亲向不用中”，即双方当面协议、不用中人。另附一张契纸工本费缴款书，可以看到典契手续的全部费用。</t>
  </si>
  <si>
    <t>目录作卖主林清、买主陈蕃薯，实为典契</t>
  </si>
  <si>
    <t>代书人名、工本费金额及“加四个月”批注存疑</t>
  </si>
  <si>
    <t>Seller: 林清 [LIN Qing] -- Buyer: 陳蕃薯 [CHEN Fanshu] -- Place: 福建省東山縣 [Fujian Sheng Dongshan Xian] -- Government</t>
  </si>
  <si>
    <t>证明信</t>
  </si>
  <si>
    <t>78.5.12（1978年5月12日）</t>
  </si>
  <si>
    <t>顺昌县元坑公社红星造纸厂</t>
  </si>
  <si>
    <t>社队企业开具的出差证明</t>
  </si>
  <si>
    <t>杨世平(?)、陈道祥</t>
  </si>
  <si>
    <t>顺昌县</t>
  </si>
  <si>
    <t>顺昌县元坑公社</t>
  </si>
  <si>
    <t>其他（非土地文书）</t>
  </si>
  <si>
    <t>证明该厂杨世平(?)、陈道祥二同志前往福州等地购买机器(?)，请沿途有关单位给予照顾安排；有效期15天</t>
  </si>
  <si>
    <t>盖元坑人民公社红星纸厂(?)公章（红色圆印）；顺昌县元坑公社红星造纸厂用笺</t>
  </si>
  <si>
    <t>这不是土地文书，而是1978年社队企业的介绍信/出差证明，反映改革开放前夕人员流动需单位证明。</t>
  </si>
  <si>
    <t>目录将杨世平、陈道祥列为“Owner”，实为出差证明中的持证人，与土地产权无关</t>
  </si>
  <si>
    <t>行书潦草，首行人名“杨世平”及出差事由存疑</t>
  </si>
  <si>
    <t>Owner: 楊世平 [YANG Shiping] and 陳道祥 [CHEN Daoxiang] -- Place: 福建省順昌縣 [Fujian Sheng Shunchang Xian] -- Government</t>
  </si>
  <si>
    <t>其他（实测户地图）</t>
  </si>
  <si>
    <t>无年代</t>
  </si>
  <si>
    <t>中华民国□年□月□日（日期空白）</t>
  </si>
  <si>
    <t>福建省政府民政厅</t>
  </si>
  <si>
    <t>地籍测量机关发给的户地图</t>
  </si>
  <si>
    <t>福建省会第三区第二十段第三六六号宅地（图中街巷有下池里、夏泉里(?)、大井兜(?)等）</t>
  </si>
  <si>
    <t>宅地面积0亩0分八厘一毫；图号省-Ⅲ-20-366；所有权状礼字第三二三号；比例尺五百分之一，绘出周边各宗地编号（164–410等）</t>
  </si>
  <si>
    <t>盖福建省地政局(?)大方红印；另有蓝色戳“国家经租　台江区人民委员会私房改造办公室”</t>
  </si>
  <si>
    <t>民国福州（省会）地籍测量的实测户地图；后加盖“国家经租”及台江区私房改造办公室戳，说明该房产在1958年后的私房社会主义改造中被纳入国家经租。</t>
  </si>
  <si>
    <t>目录无日期；图上民国年月日空白，年份无法确定</t>
  </si>
  <si>
    <t>红印文字、街巷名及县名（省会福州当时属闽侯县）为推断</t>
  </si>
  <si>
    <t>Place: 福建省 [Fujian Sheng] -- Government</t>
  </si>
  <si>
    <t>道光□年□月□日</t>
  </si>
  <si>
    <t>福建布政使司（官方）</t>
  </si>
  <si>
    <t>布字第贰千玖百捌拾贰号契尾，给连城县业户慎方</t>
  </si>
  <si>
    <t>慎方（业户）</t>
  </si>
  <si>
    <t>其他（不详）</t>
  </si>
  <si>
    <t>契尾印文引乾隆十五年户部议准契尾格式；业户慎方买□□（?）产业，价银、税银数目漫漶</t>
  </si>
  <si>
    <t>价银□□（漫漶）</t>
  </si>
  <si>
    <t>官印契尾（红契），钤福建布政使司大方印多方，布字第2982号，骑缝半印</t>
  </si>
  <si>
    <t>道光年间连城县的木刻印刷契尾，仅存一半（骑缝），没有附正契。</t>
  </si>
  <si>
    <t>目录日期1827–1850，与道光年号相符但具体年份图像上缺失</t>
  </si>
  <si>
    <t>年月、卖主、坐落、价银、税银均漫漶不清</t>
  </si>
  <si>
    <t>Owner: 慎方 [Shenfang] -- Place: 福建省連城縣 [Fujian Sheng Liancheng Xian] -- Government</t>
  </si>
  <si>
    <t>1827 to 1850</t>
  </si>
  <si>
    <t>典契（转典契）</t>
  </si>
  <si>
    <t>未见立契日期（文中提及嘉庆二年，应为嘉庆或稍后）</t>
  </si>
  <si>
    <t>吴秉鉴（仝母王氏、胞弟秉钧）</t>
  </si>
  <si>
    <t>其父在日于嘉庆二年用价钱叁拾贰千文典得郑家厝屋；今因乏用转典；母王氏、弟秉钧同立</t>
  </si>
  <si>
    <t>谢家</t>
  </si>
  <si>
    <t>闽邑锦江铺灰炉头地方</t>
  </si>
  <si>
    <t>郑家厝屋壹橺五柱，六至俱载原契</t>
  </si>
  <si>
    <t>原典契面钱叁拾千文外贴修理钱贰千文，共成叁拾贰千文</t>
  </si>
  <si>
    <t>无官印（白契），契中钤红色私印一方</t>
  </si>
  <si>
    <t>原主年限已满，倘来取赎谢家不得执留；若未赎，展限捌年，限满听鉴照契面钱文赎回；如遇风水不虞听谢家照式起盖，再限三年以酬土木之需</t>
  </si>
  <si>
    <t>层层转典的实例：吴家父辈从郑家典入房屋，又转典给谢家，并把原典契一纸交付谢家。</t>
  </si>
  <si>
    <t>目录作卖主吴秉鉴、买主谢，实为转典契</t>
  </si>
  <si>
    <t>契末日期、中人、代书部分未见（可能残缺或在图像之外）</t>
  </si>
  <si>
    <t>Seller: 吳秉鑒 [WU Bingjian] -- Buyer: 謝 [XIE] -- Place: 福建省閩縣 [Fujian Sheng Min Xian] -- Government</t>
  </si>
  <si>
    <t>其他（鞭炮包装商标）</t>
  </si>
  <si>
    <t>无纪年（据标语推测为1970年代）</t>
  </si>
  <si>
    <t>闽侯县上街公社沙堤大队鞭炮厂</t>
  </si>
  <si>
    <t>社队企业</t>
  </si>
  <si>
    <t>厂址：福建省闽侯县上街公社沙堤大队</t>
  </si>
  <si>
    <t>红色木刻印刷鞭炮包装纸，中有红旗与工农兵像，标语“团结起来争取更大胜利”“发扬正气祛除山岚瘴气”“振奋人心提高革命干劲”，品名“连庄鞭炮”，“庆贺用品”</t>
  </si>
  <si>
    <t>无</t>
  </si>
  <si>
    <t>这不是土地文书，而是社队企业的鞭炮包装商标，可作为集体化时期地方社队工业的实物材料。</t>
  </si>
  <si>
    <t>目录只记地点闽侯县，未说明是鞭炮包装纸而非契约</t>
  </si>
  <si>
    <t>年代为推测</t>
  </si>
  <si>
    <t>Place: 福建省閩侯縣 [Fujian Sheng Minhou Xian]</t>
  </si>
  <si>
    <t>查看原件</t>
  </si>
  <si>
    <t>统计（公式随“总表”实时计算；在总表中修正后这里会自动更新）</t>
  </si>
  <si>
    <t>一、文书大类</t>
  </si>
  <si>
    <t>类别</t>
  </si>
  <si>
    <t>件数</t>
  </si>
  <si>
    <t>占比</t>
  </si>
  <si>
    <t>合计</t>
  </si>
  <si>
    <t>二、时期</t>
  </si>
  <si>
    <t>三、立契人性别</t>
  </si>
  <si>
    <t>四、县（按图像辨读）</t>
  </si>
  <si>
    <t>五、交易物大类</t>
  </si>
  <si>
    <t>六、年号</t>
  </si>
  <si>
    <t>七、辨读置信度</t>
  </si>
  <si>
    <t>八、交易价格（仅买卖、典当、找贴类文书；按币种 × 时期）</t>
  </si>
  <si>
    <t>注：同一币种内交易物大小差异很大（一间屋到数亩田），均值只作粗略参考；找贴类价格是加价部分而非全价。</t>
  </si>
  <si>
    <t>平均</t>
  </si>
  <si>
    <t>最低</t>
  </si>
  <si>
    <t>最高</t>
  </si>
  <si>
    <t>姓名</t>
  </si>
  <si>
    <t>出现件数</t>
  </si>
  <si>
    <t>作中人次数</t>
  </si>
  <si>
    <t>作代笔次数</t>
  </si>
  <si>
    <t>年代范围</t>
  </si>
  <si>
    <t>涉及件（箱/夹）</t>
  </si>
  <si>
    <t>陈菊花</t>
  </si>
  <si>
    <t>1932–1936</t>
  </si>
  <si>
    <t>不详、福清县</t>
  </si>
  <si>
    <t>3/159；3/157；3/147；3/158；3/156</t>
  </si>
  <si>
    <t>吴红经</t>
  </si>
  <si>
    <t>1936–1936</t>
  </si>
  <si>
    <t>3/159；3/157；3/158；3/156</t>
  </si>
  <si>
    <t>1909–1917</t>
  </si>
  <si>
    <t>不详、连江县</t>
  </si>
  <si>
    <t>2/105；2/102；2/90</t>
  </si>
  <si>
    <t>施性楼</t>
  </si>
  <si>
    <t>1953–1953</t>
  </si>
  <si>
    <t>4/203；4/208；4/205</t>
  </si>
  <si>
    <t>1917–1918</t>
  </si>
  <si>
    <t>2/106；2/108A</t>
  </si>
  <si>
    <t>3/159；3/158</t>
  </si>
  <si>
    <t>陈仁山</t>
  </si>
  <si>
    <t>3/157；3/156</t>
  </si>
  <si>
    <t>1866–1869</t>
  </si>
  <si>
    <t>1/41；1/48</t>
  </si>
  <si>
    <t>方忠恭</t>
  </si>
  <si>
    <t>1887–1888</t>
  </si>
  <si>
    <t>2/64；2/69</t>
  </si>
  <si>
    <t>高依赐</t>
  </si>
  <si>
    <t>1906–1906</t>
  </si>
  <si>
    <t>2/88；2/88B</t>
  </si>
  <si>
    <t>1805–1829</t>
  </si>
  <si>
    <t>1/23；1/15</t>
  </si>
  <si>
    <t>1844–1854</t>
  </si>
  <si>
    <t>1/31；1/34</t>
  </si>
  <si>
    <t>1900–1900</t>
  </si>
  <si>
    <t>2/82；2/83A</t>
  </si>
  <si>
    <t>林启昌</t>
  </si>
  <si>
    <t>1943–1949</t>
  </si>
  <si>
    <t>3/166；4/193</t>
  </si>
  <si>
    <t>1924–1924</t>
  </si>
  <si>
    <t>3/119；3/119A</t>
  </si>
  <si>
    <t>林锡甫</t>
  </si>
  <si>
    <t>刘志潮</t>
  </si>
  <si>
    <t>卢文钊</t>
  </si>
  <si>
    <t>1928–1928</t>
  </si>
  <si>
    <t>3/135；3/133</t>
  </si>
  <si>
    <t>吕光达</t>
  </si>
  <si>
    <t>施至述</t>
  </si>
  <si>
    <t>4/208；4/205</t>
  </si>
  <si>
    <t>3/138；3/132</t>
  </si>
  <si>
    <t>叔祖联登</t>
  </si>
  <si>
    <t>1894–1894</t>
  </si>
  <si>
    <t>2/78；2/77</t>
  </si>
  <si>
    <t>吴青山</t>
  </si>
  <si>
    <t>1829–1829</t>
  </si>
  <si>
    <t>1/22；1/21</t>
  </si>
  <si>
    <t>1918–1918</t>
  </si>
  <si>
    <t>2/108；2/108A</t>
  </si>
  <si>
    <t>邦如孙</t>
  </si>
  <si>
    <t>1870–1870</t>
  </si>
  <si>
    <t>胞孙张大都</t>
  </si>
  <si>
    <t>蔡书波</t>
  </si>
  <si>
    <t>1862–1862</t>
  </si>
  <si>
    <t>蔡廷有</t>
  </si>
  <si>
    <t>1863–1863</t>
  </si>
  <si>
    <t>曾瑞图</t>
  </si>
  <si>
    <t>1934–1934</t>
  </si>
  <si>
    <t>3/151</t>
  </si>
  <si>
    <t>曾笋</t>
  </si>
  <si>
    <t>1947–1947</t>
  </si>
  <si>
    <t>4/188</t>
  </si>
  <si>
    <t>曾侄孙圣乾</t>
  </si>
  <si>
    <t>1945–1945</t>
  </si>
  <si>
    <t>3/169</t>
  </si>
  <si>
    <t>陈炳星</t>
  </si>
  <si>
    <t>1935–1935</t>
  </si>
  <si>
    <t>3/153</t>
  </si>
  <si>
    <t>陈春雷</t>
  </si>
  <si>
    <t>1876–1876</t>
  </si>
  <si>
    <t>陈红鳀</t>
  </si>
  <si>
    <t>1941–1941</t>
  </si>
  <si>
    <t>3/163</t>
  </si>
  <si>
    <t>陈华</t>
  </si>
  <si>
    <t>1882–1882</t>
  </si>
  <si>
    <t>陈金槐</t>
  </si>
  <si>
    <t>1884–1884</t>
  </si>
  <si>
    <t>1904–1904</t>
  </si>
  <si>
    <t>陈开文</t>
  </si>
  <si>
    <t>1858–1858</t>
  </si>
  <si>
    <t>陈明金</t>
  </si>
  <si>
    <t>1837–1837</t>
  </si>
  <si>
    <t>陈仁芳</t>
  </si>
  <si>
    <t>1932–1932</t>
  </si>
  <si>
    <t>3/147</t>
  </si>
  <si>
    <t>1927–1927</t>
  </si>
  <si>
    <t>3/140C</t>
  </si>
  <si>
    <t>陈五费</t>
  </si>
  <si>
    <t>1678–1678</t>
  </si>
  <si>
    <t>陈务睦</t>
  </si>
  <si>
    <t>1822–1822</t>
  </si>
  <si>
    <t>陈扬英</t>
  </si>
  <si>
    <t>1940–1940</t>
  </si>
  <si>
    <t>3/162</t>
  </si>
  <si>
    <t>陈奕谋</t>
  </si>
  <si>
    <t>1921–1921</t>
  </si>
  <si>
    <t>3/116</t>
  </si>
  <si>
    <t>陈有义</t>
  </si>
  <si>
    <t>2/88A</t>
  </si>
  <si>
    <t>3/131A</t>
  </si>
  <si>
    <t>陈竹付</t>
  </si>
  <si>
    <t>3/155A</t>
  </si>
  <si>
    <t>1903–1903</t>
  </si>
  <si>
    <t>程道法</t>
  </si>
  <si>
    <t>1929–1929</t>
  </si>
  <si>
    <t>3/140A</t>
  </si>
  <si>
    <t>程叔顺</t>
  </si>
  <si>
    <t>1782–1782</t>
  </si>
  <si>
    <t>的笔</t>
  </si>
  <si>
    <t>1869–1869</t>
  </si>
  <si>
    <t>弟陈桂能</t>
  </si>
  <si>
    <t>3/140B</t>
  </si>
  <si>
    <t>弟荣</t>
  </si>
  <si>
    <t>1841–1841</t>
  </si>
  <si>
    <t>弟有汉</t>
  </si>
  <si>
    <t>1802–1802</t>
  </si>
  <si>
    <t>端辛</t>
  </si>
  <si>
    <t>1910–1910</t>
  </si>
  <si>
    <t>法功江</t>
  </si>
  <si>
    <t>1864–1864</t>
  </si>
  <si>
    <t>方赓田</t>
  </si>
  <si>
    <t>方添喜</t>
  </si>
  <si>
    <t>4/204</t>
  </si>
  <si>
    <t>2/93A</t>
  </si>
  <si>
    <t>房叔陈宿赠</t>
  </si>
  <si>
    <t>3/147A</t>
  </si>
  <si>
    <t>1872–1872</t>
  </si>
  <si>
    <t>官盛清</t>
  </si>
  <si>
    <t>1761–1761</t>
  </si>
  <si>
    <t>海中</t>
  </si>
  <si>
    <t>1877–1877</t>
  </si>
  <si>
    <t>何章林</t>
  </si>
  <si>
    <t>1899–1899</t>
  </si>
  <si>
    <t>1888–1888</t>
  </si>
  <si>
    <t>黄继书</t>
  </si>
  <si>
    <t>1842–1842</t>
  </si>
  <si>
    <t>1926–1926</t>
  </si>
  <si>
    <t>3/126</t>
  </si>
  <si>
    <t>黄杰</t>
  </si>
  <si>
    <t>1886–1886</t>
  </si>
  <si>
    <t>黄明德</t>
  </si>
  <si>
    <t>1952–1952</t>
  </si>
  <si>
    <t>4/198</t>
  </si>
  <si>
    <t>3/161</t>
  </si>
  <si>
    <t>揭时发</t>
  </si>
  <si>
    <t>1659–1659</t>
  </si>
  <si>
    <t>金存国</t>
  </si>
  <si>
    <t>1805–1805</t>
  </si>
  <si>
    <t>金石友</t>
  </si>
  <si>
    <t>3/125</t>
  </si>
  <si>
    <t>经管</t>
  </si>
  <si>
    <t>1933–1933</t>
  </si>
  <si>
    <t>3/149</t>
  </si>
  <si>
    <t>经管陈诚</t>
  </si>
  <si>
    <t>3/148</t>
  </si>
  <si>
    <t>开次</t>
  </si>
  <si>
    <t>赖文仔</t>
  </si>
  <si>
    <t>1890–1890</t>
  </si>
  <si>
    <t>1887–1887</t>
  </si>
  <si>
    <t>1889–1889</t>
  </si>
  <si>
    <t>李华茂</t>
  </si>
  <si>
    <t>1915–1915</t>
  </si>
  <si>
    <t>2/101</t>
  </si>
  <si>
    <t>李龙泉</t>
  </si>
  <si>
    <t>1840–1840</t>
  </si>
  <si>
    <t>李钰成</t>
  </si>
  <si>
    <t>2/70A</t>
  </si>
  <si>
    <t>李兆桐</t>
  </si>
  <si>
    <t>李肇松</t>
  </si>
  <si>
    <t>林标人</t>
  </si>
  <si>
    <t>林和</t>
  </si>
  <si>
    <t>林吉昌</t>
  </si>
  <si>
    <t>3/150</t>
  </si>
  <si>
    <t>林金锡</t>
  </si>
  <si>
    <t>1949–1949</t>
  </si>
  <si>
    <t>4/199</t>
  </si>
  <si>
    <t>2/70B</t>
  </si>
  <si>
    <t>林坛</t>
  </si>
  <si>
    <t>3/155</t>
  </si>
  <si>
    <t>林万斌</t>
  </si>
  <si>
    <t>1865–1865</t>
  </si>
  <si>
    <t>1866–1866</t>
  </si>
  <si>
    <t>林学纶</t>
  </si>
  <si>
    <t>林有泰</t>
  </si>
  <si>
    <t>林玉明</t>
  </si>
  <si>
    <t>林枝三</t>
  </si>
  <si>
    <t>林宗年</t>
  </si>
  <si>
    <t>刘贵年</t>
  </si>
  <si>
    <t>刘礼</t>
  </si>
  <si>
    <t>刘立忠</t>
  </si>
  <si>
    <t>刘如万</t>
  </si>
  <si>
    <t>1798–1798</t>
  </si>
  <si>
    <t>刘仕德</t>
  </si>
  <si>
    <t>1898–1898</t>
  </si>
  <si>
    <t>刘泗宝</t>
  </si>
  <si>
    <t>刘孝元</t>
  </si>
  <si>
    <t>刘兆华</t>
  </si>
  <si>
    <t>卢志高</t>
  </si>
  <si>
    <t>3/121</t>
  </si>
  <si>
    <t>马传梅</t>
  </si>
  <si>
    <t>欧尧</t>
  </si>
  <si>
    <t>1954–1954</t>
  </si>
  <si>
    <t>4/209</t>
  </si>
  <si>
    <t>齐光波</t>
  </si>
  <si>
    <t>齐光茂</t>
  </si>
  <si>
    <t>2/88B</t>
  </si>
  <si>
    <t>施至</t>
  </si>
  <si>
    <t>4/203</t>
  </si>
  <si>
    <t>叔搭贵</t>
  </si>
  <si>
    <t>3/145</t>
  </si>
  <si>
    <t>堂伯敦琏</t>
  </si>
  <si>
    <t>堂弟邦勋</t>
  </si>
  <si>
    <t>1868–1868</t>
  </si>
  <si>
    <t>堂弟兆桐</t>
  </si>
  <si>
    <t>1893–1893</t>
  </si>
  <si>
    <t>堂兄万顺</t>
  </si>
  <si>
    <t>堂侄可良</t>
  </si>
  <si>
    <t>王昌厚</t>
  </si>
  <si>
    <t>1850–1850</t>
  </si>
  <si>
    <t>王清香</t>
  </si>
  <si>
    <t>王兴朝</t>
  </si>
  <si>
    <t>王有才</t>
  </si>
  <si>
    <t>王幼卿</t>
  </si>
  <si>
    <t>3/146</t>
  </si>
  <si>
    <t>王兆榕</t>
  </si>
  <si>
    <t>3/120</t>
  </si>
  <si>
    <t>危聪</t>
  </si>
  <si>
    <t>3/140</t>
  </si>
  <si>
    <t>魏玉璟</t>
  </si>
  <si>
    <t>吴朝宇</t>
  </si>
  <si>
    <t>1937–1937</t>
  </si>
  <si>
    <t>3/160</t>
  </si>
  <si>
    <t>吴红理</t>
  </si>
  <si>
    <t>吴淮雨</t>
  </si>
  <si>
    <t>吴子仁</t>
  </si>
  <si>
    <t>1917–1917</t>
  </si>
  <si>
    <t>2/106</t>
  </si>
  <si>
    <t>1916–1916</t>
  </si>
  <si>
    <t>3/114</t>
  </si>
  <si>
    <t>萧昭苓</t>
  </si>
  <si>
    <t>1942–1942</t>
  </si>
  <si>
    <t>3/164</t>
  </si>
  <si>
    <t>谢江霖</t>
  </si>
  <si>
    <t>1943–1943</t>
  </si>
  <si>
    <t>3/166</t>
  </si>
  <si>
    <t>谢钟</t>
  </si>
  <si>
    <t>徐迟万</t>
  </si>
  <si>
    <t>徐起孙</t>
  </si>
  <si>
    <t>1767–1767</t>
  </si>
  <si>
    <t>许遂</t>
  </si>
  <si>
    <t>4/192</t>
  </si>
  <si>
    <t>薛宜章</t>
  </si>
  <si>
    <t>1760–1760</t>
  </si>
  <si>
    <t>杨海武</t>
  </si>
  <si>
    <t>杨隆魁</t>
  </si>
  <si>
    <t>1/33A</t>
  </si>
  <si>
    <t>姚端仓</t>
  </si>
  <si>
    <t>姚光珠</t>
  </si>
  <si>
    <t>叶闻蔚</t>
  </si>
  <si>
    <t>于凌</t>
  </si>
  <si>
    <t>2/103</t>
  </si>
  <si>
    <t>1920–1920</t>
  </si>
  <si>
    <t>2/109</t>
  </si>
  <si>
    <t>张炳孙</t>
  </si>
  <si>
    <t>张春老</t>
  </si>
  <si>
    <t>张东礼</t>
  </si>
  <si>
    <t>1784–1784</t>
  </si>
  <si>
    <t>张贵孙</t>
  </si>
  <si>
    <t>张华春</t>
  </si>
  <si>
    <t>3/154</t>
  </si>
  <si>
    <t>张文发</t>
  </si>
  <si>
    <t>张务孙</t>
  </si>
  <si>
    <t>张喜孙</t>
  </si>
  <si>
    <t>张元寿</t>
  </si>
  <si>
    <t>张正平</t>
  </si>
  <si>
    <t>张钟着</t>
  </si>
  <si>
    <t>4/193</t>
  </si>
  <si>
    <t>长亮</t>
  </si>
  <si>
    <t>1892–1892</t>
  </si>
  <si>
    <t>2/104</t>
  </si>
  <si>
    <t>郑昌颐</t>
  </si>
  <si>
    <t>郑庆安</t>
  </si>
  <si>
    <t>郑提登</t>
  </si>
  <si>
    <t>郑廷源</t>
  </si>
  <si>
    <t>1925–1925</t>
  </si>
  <si>
    <t>3/124</t>
  </si>
  <si>
    <t>郑长梅</t>
  </si>
  <si>
    <t>侄可举</t>
  </si>
  <si>
    <t>1891–1891</t>
  </si>
  <si>
    <t>中弟振财</t>
  </si>
  <si>
    <t>周昌烈</t>
  </si>
  <si>
    <t>1839–1839</t>
  </si>
  <si>
    <t>周绅杨</t>
  </si>
  <si>
    <t>朱明贵</t>
  </si>
  <si>
    <t>朱远奴</t>
  </si>
  <si>
    <t>朱占芳</t>
  </si>
  <si>
    <t>1879–1879</t>
  </si>
  <si>
    <t>庄世宝</t>
  </si>
  <si>
    <t>宗叔爱炜</t>
  </si>
  <si>
    <t>1923–1923</t>
  </si>
  <si>
    <t>3/118A</t>
  </si>
  <si>
    <t>1871–1871</t>
  </si>
  <si>
    <t>族侄巨槛；尽断契自笔</t>
  </si>
  <si>
    <t>族侄信钏</t>
  </si>
  <si>
    <t>1931–1931</t>
  </si>
  <si>
    <t>3/142</t>
  </si>
  <si>
    <t>族侄兴梅</t>
  </si>
  <si>
    <t>说明：只列出在 2 件或以上文书中担任中人或代笔的人。名字按辨读结果去掉括号注记、统一为简体后匹配，同名不同人、或同一人写法不同的情况无法区分，请对照原件判断。"涉及件"格式为 箱/夹。</t>
  </si>
  <si>
    <t>中国土地契约（匹兹堡大学 Chinese Land Records, 1584–1978）全件辨读统计表</t>
  </si>
  <si>
    <t>来源</t>
  </si>
  <si>
    <t>Chinese Land Records, 1584-1978, EAL.2011.01, Archives &amp; Special Collections, University of Pittsburgh Library System. https://digital.library.pitt.edu/collection/chinese-land-records</t>
  </si>
  <si>
    <t>范围</t>
  </si>
  <si>
    <t>全部 234 件（407 页图像）。每件一行；若一件含多份文书（正契、契尾、验契凭证等），主要字段记主契，其余写在"附带文书"栏。</t>
  </si>
  <si>
    <t>方法</t>
  </si>
  <si>
    <t>根据课程资料包中的图像逐页辨读（2026-10-07，由 Claude 分批完成）。人名、地名等文字统一转为简体；看不清的字作 □，存疑的字加 (?)。</t>
  </si>
  <si>
    <t>高＝主要字段清楚；中＝部分存疑；低＝大部分难辨或残缺（共 12 件，在总表中以红色标出，「中」为黄色）。</t>
  </si>
  <si>
    <t>派生字段</t>
  </si>
  <si>
    <t>"文书大类""交易物大类""时期""币种"是在原判基础上归并的分类，便于统计；原判保留在"文书类型（原判）""交易物类别（原判）"栏。</t>
  </si>
  <si>
    <t>按契文辨读，不照搬目录。闽县、侯官县（清代）与闽侯县（1913 年后）、林森县（1944–1949）在地理上大体重叠，统计时未合并。无法判断者记"不详"。</t>
  </si>
  <si>
    <t>价格</t>
  </si>
  <si>
    <t>"价格数值"只记契面数字，不做币值换算；银两、银元、铜钱、法币、人民币各自独立。找贴、凑断契的价格是加价部分。官方凭证的税额、纸价记在"价格原文"，不计入价格统计。</t>
  </si>
  <si>
    <t>图书馆目录（"图书馆目录标题""目录日期"）与图像不一致之处记在"与目录不符"栏，常见情况是把典契记成买卖、买卖方向写反、把中人或保人当成买主、年份换算差一年。</t>
  </si>
  <si>
    <t>使用限制</t>
  </si>
  <si>
    <t>图像仅限课堂使用，本表不含任何图像；查看原件请点"链接"栏，引用时请注明匹兹堡大学图书馆。辨读结果未经人工校对，正式引用前请核对原图。</t>
  </si>
  <si>
    <t>工作表</t>
  </si>
  <si>
    <t>总表：全部 234 件明细，可筛选；统计：按类别、时期、性别、县等计数，以及按币种 × 时期的价格表（公式随总表更新）；人物索引：重复出现的中人、代笔。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</si>
</sst>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0.0%"/>
  </numFmts>
  <fonts count="9" x14ac:knownFonts="1">
    <font>
      <sz val="11"/>
      <color theme="1"/>
      <name val="等线"/>
      <family val="2"/>
      <charset val="134"/>
      <scheme val="minor"/>
    </font>
    <font>
      <sz val="10"/>
      <color theme="1"/>
      <name val="Arial"/>
      <family val="2"/>
    </font>
    <font>
      <b/>
      <sz val="10"/>
      <color theme="1"/>
      <name val="Arial"/>
      <family val="2"/>
    </font>
    <font>
      <b/>
      <sz val="10"/>
      <color rgb="FFFFFFFF"/>
      <name val="Arial"/>
      <family val="2"/>
    </font>
    <font>
      <sz val="9"/>
      <name val="等线"/>
      <family val="2"/>
      <charset val="134"/>
      <scheme val="minor"/>
    </font>
    <font>
      <u/>
      <sz val="11"/>
      <color theme="10"/>
      <name val="等线"/>
      <family val="2"/>
      <charset val="134"/>
      <scheme val="minor"/>
    </font>
    <font>
      <b/>
      <sz val="12"/>
      <color theme="1"/>
      <name val="Arial"/>
      <family val="2"/>
    </font>
    <font>
      <i/>
      <sz val="10"/>
      <color theme="1"/>
      <name val="Arial"/>
      <family val="2"/>
    </font>
    <font>
      <b/>
      <sz val="14"/>
      <color theme="1"/>
      <name val="Arial"/>
      <family val="2"/>
    </font>
  </fonts>
  <fills count="4">
    <fill>
      <patternFill patternType="none"/>
    </fill>
    <fill>
      <patternFill patternType="gray125"/>
    </fill>
    <fill>
      <patternFill patternType="solid">
        <fgColor rgb="FF2F4A6B"/>
        <bgColor indexed="64"/>
      </patternFill>
    </fill>
    <fill>
      <patternFill patternType="solid">
        <fgColor rgb="FFD9E3ED"/>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1">
    <xf numFmtId="0" fontId="0" fillId="0" borderId="0" xfId="0">
      <alignment vertical="center"/>
    </xf>
    <xf numFmtId="0" fontId="1" fillId="0" borderId="0" xfId="0" applyFont="1">
      <alignment vertical="center"/>
    </xf>
    <xf numFmtId="0" fontId="2" fillId="0" borderId="0" xfId="0" applyFont="1">
      <alignment vertical="center"/>
    </xf>
    <xf numFmtId="0" fontId="3" fillId="2" borderId="0" xfId="0" applyFont="1" applyFill="1" applyAlignment="1">
      <alignment vertical="center" wrapText="1"/>
    </xf>
    <xf numFmtId="1" fontId="1" fillId="0" borderId="0" xfId="0" applyNumberFormat="1" applyFont="1" applyAlignment="1">
      <alignment vertical="top" wrapText="1"/>
    </xf>
    <xf numFmtId="0" fontId="1" fillId="0" borderId="0" xfId="0" applyFont="1" applyAlignment="1">
      <alignment vertical="top" wrapText="1"/>
    </xf>
    <xf numFmtId="0" fontId="1" fillId="0" borderId="0" xfId="0" quotePrefix="1" applyFont="1" applyAlignment="1">
      <alignment vertical="top" wrapText="1"/>
    </xf>
    <xf numFmtId="176" fontId="1" fillId="0" borderId="0" xfId="0" applyNumberFormat="1" applyFont="1" applyAlignment="1">
      <alignment vertical="top" wrapText="1"/>
    </xf>
    <xf numFmtId="0" fontId="5" fillId="0" borderId="0" xfId="1" applyAlignment="1">
      <alignment vertical="top" wrapText="1"/>
    </xf>
    <xf numFmtId="0" fontId="6" fillId="0" borderId="0" xfId="0" applyFont="1">
      <alignment vertical="center"/>
    </xf>
    <xf numFmtId="0" fontId="2" fillId="3" borderId="0" xfId="0" applyFont="1" applyFill="1">
      <alignment vertical="center"/>
    </xf>
    <xf numFmtId="177" fontId="1" fillId="0" borderId="0" xfId="0" applyNumberFormat="1" applyFont="1">
      <alignment vertical="center"/>
    </xf>
    <xf numFmtId="177" fontId="2" fillId="0" borderId="0" xfId="0" applyNumberFormat="1" applyFont="1">
      <alignment vertical="center"/>
    </xf>
    <xf numFmtId="0" fontId="7" fillId="0" borderId="0" xfId="0" applyFont="1">
      <alignment vertical="center"/>
    </xf>
    <xf numFmtId="0" fontId="1" fillId="0" borderId="0" xfId="0" applyFont="1" applyAlignment="1">
      <alignment horizontal="right" vertical="center"/>
    </xf>
    <xf numFmtId="17" fontId="1" fillId="0" borderId="0" xfId="0" applyNumberFormat="1" applyFont="1">
      <alignment vertical="center"/>
    </xf>
    <xf numFmtId="58" fontId="1" fillId="0" borderId="0" xfId="0" applyNumberFormat="1" applyFont="1">
      <alignment vertical="center"/>
    </xf>
    <xf numFmtId="0" fontId="1" fillId="0" borderId="0" xfId="0" applyFont="1" applyAlignment="1">
      <alignment vertical="center" wrapText="1"/>
    </xf>
    <xf numFmtId="0" fontId="7" fillId="0" borderId="0" xfId="0" applyFont="1" applyAlignment="1">
      <alignment vertical="center" wrapText="1"/>
    </xf>
    <xf numFmtId="0" fontId="8" fillId="0" borderId="0" xfId="0" applyFont="1">
      <alignment vertical="center"/>
    </xf>
    <xf numFmtId="0" fontId="2" fillId="0" borderId="0" xfId="0" applyFont="1" applyAlignment="1">
      <alignment vertical="top"/>
    </xf>
  </cellXfs>
  <cellStyles count="2">
    <cellStyle name="常规" xfId="0" builtinId="0"/>
    <cellStyle name="超链接" xfId="1" builtinId="8"/>
  </cellStyles>
  <dxfs count="2">
    <dxf>
      <fill>
        <patternFill>
          <bgColor rgb="FFFFEB9C"/>
        </patternFill>
      </fill>
    </dxf>
    <dxf>
      <fill>
        <patternFill>
          <bgColor rgb="FFFFCE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igital.library.pitt.edu/islandora/object/pitt%3A31735064607504" TargetMode="External"/><Relationship Id="rId21" Type="http://schemas.openxmlformats.org/officeDocument/2006/relationships/hyperlink" Target="https://digital.library.pitt.edu/islandora/object/pitt%3A31735066266580" TargetMode="External"/><Relationship Id="rId42" Type="http://schemas.openxmlformats.org/officeDocument/2006/relationships/hyperlink" Target="https://digital.library.pitt.edu/islandora/object/pitt%3A31735066266267" TargetMode="External"/><Relationship Id="rId63" Type="http://schemas.openxmlformats.org/officeDocument/2006/relationships/hyperlink" Target="https://digital.library.pitt.edu/islandora/object/pitt%3A31735066266275" TargetMode="External"/><Relationship Id="rId84" Type="http://schemas.openxmlformats.org/officeDocument/2006/relationships/hyperlink" Target="https://digital.library.pitt.edu/islandora/object/pitt%3A31735064607629" TargetMode="External"/><Relationship Id="rId138" Type="http://schemas.openxmlformats.org/officeDocument/2006/relationships/hyperlink" Target="https://digital.library.pitt.edu/islandora/object/pitt%3A31735066266689" TargetMode="External"/><Relationship Id="rId159" Type="http://schemas.openxmlformats.org/officeDocument/2006/relationships/hyperlink" Target="https://digital.library.pitt.edu/islandora/object/pitt%3A31735066266721" TargetMode="External"/><Relationship Id="rId170" Type="http://schemas.openxmlformats.org/officeDocument/2006/relationships/hyperlink" Target="https://digital.library.pitt.edu/islandora/object/pitt%3A31735066237466" TargetMode="External"/><Relationship Id="rId191" Type="http://schemas.openxmlformats.org/officeDocument/2006/relationships/hyperlink" Target="https://digital.library.pitt.edu/islandora/object/pitt%3A31735064607421" TargetMode="External"/><Relationship Id="rId205" Type="http://schemas.openxmlformats.org/officeDocument/2006/relationships/hyperlink" Target="https://digital.library.pitt.edu/islandora/object/pitt%3A31735066267935" TargetMode="External"/><Relationship Id="rId226" Type="http://schemas.openxmlformats.org/officeDocument/2006/relationships/hyperlink" Target="https://digital.library.pitt.edu/islandora/object/pitt%3A31735066267604" TargetMode="External"/><Relationship Id="rId107" Type="http://schemas.openxmlformats.org/officeDocument/2006/relationships/hyperlink" Target="https://digital.library.pitt.edu/islandora/object/pitt%3A31735066267919" TargetMode="External"/><Relationship Id="rId11" Type="http://schemas.openxmlformats.org/officeDocument/2006/relationships/hyperlink" Target="https://digital.library.pitt.edu/islandora/object/pitt%3A31735064607652" TargetMode="External"/><Relationship Id="rId32" Type="http://schemas.openxmlformats.org/officeDocument/2006/relationships/hyperlink" Target="https://digital.library.pitt.edu/islandora/object/pitt%3A31735066237417" TargetMode="External"/><Relationship Id="rId53" Type="http://schemas.openxmlformats.org/officeDocument/2006/relationships/hyperlink" Target="https://digital.library.pitt.edu/islandora/object/pitt%3A31735066266317" TargetMode="External"/><Relationship Id="rId74" Type="http://schemas.openxmlformats.org/officeDocument/2006/relationships/hyperlink" Target="https://digital.library.pitt.edu/islandora/object/pitt%3A31735068223308" TargetMode="External"/><Relationship Id="rId128" Type="http://schemas.openxmlformats.org/officeDocument/2006/relationships/hyperlink" Target="https://digital.library.pitt.edu/islandora/object/pitt%3A31735066237599" TargetMode="External"/><Relationship Id="rId149" Type="http://schemas.openxmlformats.org/officeDocument/2006/relationships/hyperlink" Target="https://digital.library.pitt.edu/islandora/object/pitt%3A31735066266713" TargetMode="External"/><Relationship Id="rId5" Type="http://schemas.openxmlformats.org/officeDocument/2006/relationships/hyperlink" Target="https://digital.library.pitt.edu/islandora/object/pitt%3A31735064607538" TargetMode="External"/><Relationship Id="rId95" Type="http://schemas.openxmlformats.org/officeDocument/2006/relationships/hyperlink" Target="https://digital.library.pitt.edu/islandora/object/pitt%3A31735068223332" TargetMode="External"/><Relationship Id="rId160" Type="http://schemas.openxmlformats.org/officeDocument/2006/relationships/hyperlink" Target="https://digital.library.pitt.edu/islandora/object/pitt%3A31735066266358" TargetMode="External"/><Relationship Id="rId181" Type="http://schemas.openxmlformats.org/officeDocument/2006/relationships/hyperlink" Target="https://digital.library.pitt.edu/islandora/object/pitt%3A31735066266630" TargetMode="External"/><Relationship Id="rId216" Type="http://schemas.openxmlformats.org/officeDocument/2006/relationships/hyperlink" Target="https://digital.library.pitt.edu/islandora/object/pitt%3A31735066266754" TargetMode="External"/><Relationship Id="rId22" Type="http://schemas.openxmlformats.org/officeDocument/2006/relationships/hyperlink" Target="https://digital.library.pitt.edu/islandora/object/pitt%3A31735066266572" TargetMode="External"/><Relationship Id="rId43" Type="http://schemas.openxmlformats.org/officeDocument/2006/relationships/hyperlink" Target="https://digital.library.pitt.edu/islandora/object/pitt%3A31735064607447" TargetMode="External"/><Relationship Id="rId64" Type="http://schemas.openxmlformats.org/officeDocument/2006/relationships/hyperlink" Target="https://digital.library.pitt.edu/islandora/object/pitt%3A31735066267828" TargetMode="External"/><Relationship Id="rId118" Type="http://schemas.openxmlformats.org/officeDocument/2006/relationships/hyperlink" Target="https://digital.library.pitt.edu/islandora/object/pitt%3A31735068223373" TargetMode="External"/><Relationship Id="rId139" Type="http://schemas.openxmlformats.org/officeDocument/2006/relationships/hyperlink" Target="https://digital.library.pitt.edu/islandora/object/pitt%3A31735066266747" TargetMode="External"/><Relationship Id="rId85" Type="http://schemas.openxmlformats.org/officeDocument/2006/relationships/hyperlink" Target="https://digital.library.pitt.edu/islandora/object/pitt%3A31735066266291" TargetMode="External"/><Relationship Id="rId150" Type="http://schemas.openxmlformats.org/officeDocument/2006/relationships/hyperlink" Target="https://digital.library.pitt.edu/islandora/object/pitt%3A31735066237433" TargetMode="External"/><Relationship Id="rId171" Type="http://schemas.openxmlformats.org/officeDocument/2006/relationships/hyperlink" Target="https://digital.library.pitt.edu/islandora/object/pitt%3A31735066237755" TargetMode="External"/><Relationship Id="rId192" Type="http://schemas.openxmlformats.org/officeDocument/2006/relationships/hyperlink" Target="https://digital.library.pitt.edu/islandora/object/pitt%3A31735066266143" TargetMode="External"/><Relationship Id="rId206" Type="http://schemas.openxmlformats.org/officeDocument/2006/relationships/hyperlink" Target="https://digital.library.pitt.edu/islandora/object/pitt%3A31735066267547" TargetMode="External"/><Relationship Id="rId227" Type="http://schemas.openxmlformats.org/officeDocument/2006/relationships/hyperlink" Target="https://digital.library.pitt.edu/islandora/object/pitt%3A31735066267661" TargetMode="External"/><Relationship Id="rId12" Type="http://schemas.openxmlformats.org/officeDocument/2006/relationships/hyperlink" Target="https://digital.library.pitt.edu/islandora/object/pitt%3A31735066266523" TargetMode="External"/><Relationship Id="rId33" Type="http://schemas.openxmlformats.org/officeDocument/2006/relationships/hyperlink" Target="https://digital.library.pitt.edu/islandora/object/pitt%3A31735064607868" TargetMode="External"/><Relationship Id="rId108" Type="http://schemas.openxmlformats.org/officeDocument/2006/relationships/hyperlink" Target="https://digital.library.pitt.edu/islandora/object/pitt%3A31735066237482" TargetMode="External"/><Relationship Id="rId129" Type="http://schemas.openxmlformats.org/officeDocument/2006/relationships/hyperlink" Target="https://digital.library.pitt.edu/islandora/object/pitt%3A31735068223381" TargetMode="External"/><Relationship Id="rId54" Type="http://schemas.openxmlformats.org/officeDocument/2006/relationships/hyperlink" Target="https://digital.library.pitt.edu/islandora/object/pitt%3A31735066237383" TargetMode="External"/><Relationship Id="rId75" Type="http://schemas.openxmlformats.org/officeDocument/2006/relationships/hyperlink" Target="https://digital.library.pitt.edu/islandora/object/pitt%3A31735064607488" TargetMode="External"/><Relationship Id="rId96" Type="http://schemas.openxmlformats.org/officeDocument/2006/relationships/hyperlink" Target="https://digital.library.pitt.edu/islandora/object/pitt%3A31735066267646" TargetMode="External"/><Relationship Id="rId140" Type="http://schemas.openxmlformats.org/officeDocument/2006/relationships/hyperlink" Target="https://digital.library.pitt.edu/islandora/object/pitt%3A31735066237607" TargetMode="External"/><Relationship Id="rId161" Type="http://schemas.openxmlformats.org/officeDocument/2006/relationships/hyperlink" Target="https://digital.library.pitt.edu/islandora/object/pitt%3A31735064607595" TargetMode="External"/><Relationship Id="rId182" Type="http://schemas.openxmlformats.org/officeDocument/2006/relationships/hyperlink" Target="https://digital.library.pitt.edu/islandora/object/pitt%3A31735066237540" TargetMode="External"/><Relationship Id="rId217" Type="http://schemas.openxmlformats.org/officeDocument/2006/relationships/hyperlink" Target="https://digital.library.pitt.edu/islandora/object/pitt%3A31735066267422" TargetMode="External"/><Relationship Id="rId6" Type="http://schemas.openxmlformats.org/officeDocument/2006/relationships/hyperlink" Target="https://digital.library.pitt.edu/islandora/object/pitt%3A31735066237367" TargetMode="External"/><Relationship Id="rId23" Type="http://schemas.openxmlformats.org/officeDocument/2006/relationships/hyperlink" Target="https://digital.library.pitt.edu/islandora/object/pitt%3A31735066237722" TargetMode="External"/><Relationship Id="rId119" Type="http://schemas.openxmlformats.org/officeDocument/2006/relationships/hyperlink" Target="https://digital.library.pitt.edu/islandora/object/pitt%3A31735066237425" TargetMode="External"/><Relationship Id="rId44" Type="http://schemas.openxmlformats.org/officeDocument/2006/relationships/hyperlink" Target="https://digital.library.pitt.edu/islandora/object/pitt%3A31735064607835" TargetMode="External"/><Relationship Id="rId65" Type="http://schemas.openxmlformats.org/officeDocument/2006/relationships/hyperlink" Target="https://digital.library.pitt.edu/islandora/object/pitt%3A31735064607470" TargetMode="External"/><Relationship Id="rId86" Type="http://schemas.openxmlformats.org/officeDocument/2006/relationships/hyperlink" Target="https://digital.library.pitt.edu/islandora/object/pitt%3A31735064607496" TargetMode="External"/><Relationship Id="rId130" Type="http://schemas.openxmlformats.org/officeDocument/2006/relationships/hyperlink" Target="https://digital.library.pitt.edu/islandora/object/pitt%3A31735064607512" TargetMode="External"/><Relationship Id="rId151" Type="http://schemas.openxmlformats.org/officeDocument/2006/relationships/hyperlink" Target="https://digital.library.pitt.edu/islandora/object/pitt%3A31735066237748" TargetMode="External"/><Relationship Id="rId172" Type="http://schemas.openxmlformats.org/officeDocument/2006/relationships/hyperlink" Target="https://digital.library.pitt.edu/islandora/object/pitt%3A31735066267570" TargetMode="External"/><Relationship Id="rId193" Type="http://schemas.openxmlformats.org/officeDocument/2006/relationships/hyperlink" Target="https://digital.library.pitt.edu/islandora/object/pitt%3A31735066266150" TargetMode="External"/><Relationship Id="rId207" Type="http://schemas.openxmlformats.org/officeDocument/2006/relationships/hyperlink" Target="https://digital.library.pitt.edu/islandora/object/pitt%3A31735068223464" TargetMode="External"/><Relationship Id="rId228" Type="http://schemas.openxmlformats.org/officeDocument/2006/relationships/hyperlink" Target="https://digital.library.pitt.edu/islandora/object/pitt%3A31735066267539" TargetMode="External"/><Relationship Id="rId13" Type="http://schemas.openxmlformats.org/officeDocument/2006/relationships/hyperlink" Target="https://digital.library.pitt.edu/islandora/object/pitt%3A31735064607660" TargetMode="External"/><Relationship Id="rId109" Type="http://schemas.openxmlformats.org/officeDocument/2006/relationships/hyperlink" Target="https://digital.library.pitt.edu/islandora/object/pitt%3A31735068223365" TargetMode="External"/><Relationship Id="rId34" Type="http://schemas.openxmlformats.org/officeDocument/2006/relationships/hyperlink" Target="https://digital.library.pitt.edu/islandora/object/pitt%3A31735068223258" TargetMode="External"/><Relationship Id="rId55" Type="http://schemas.openxmlformats.org/officeDocument/2006/relationships/hyperlink" Target="https://digital.library.pitt.edu/islandora/object/pitt%3A31735066266424" TargetMode="External"/><Relationship Id="rId76" Type="http://schemas.openxmlformats.org/officeDocument/2006/relationships/hyperlink" Target="https://digital.library.pitt.edu/islandora/object/pitt%3A31735066266309" TargetMode="External"/><Relationship Id="rId97" Type="http://schemas.openxmlformats.org/officeDocument/2006/relationships/hyperlink" Target="https://digital.library.pitt.edu/islandora/object/pitt%3A31735066267836" TargetMode="External"/><Relationship Id="rId120" Type="http://schemas.openxmlformats.org/officeDocument/2006/relationships/hyperlink" Target="https://digital.library.pitt.edu/islandora/object/pitt%3A31735066237631" TargetMode="External"/><Relationship Id="rId141" Type="http://schemas.openxmlformats.org/officeDocument/2006/relationships/hyperlink" Target="https://digital.library.pitt.edu/islandora/object/pitt%3A31735066266325" TargetMode="External"/><Relationship Id="rId7" Type="http://schemas.openxmlformats.org/officeDocument/2006/relationships/hyperlink" Target="https://digital.library.pitt.edu/islandora/object/pitt%3A31735066237375" TargetMode="External"/><Relationship Id="rId162" Type="http://schemas.openxmlformats.org/officeDocument/2006/relationships/hyperlink" Target="https://digital.library.pitt.edu/islandora/object/pitt%3A31735064607710" TargetMode="External"/><Relationship Id="rId183" Type="http://schemas.openxmlformats.org/officeDocument/2006/relationships/hyperlink" Target="https://digital.library.pitt.edu/islandora/object/pitt%3A31735066237714" TargetMode="External"/><Relationship Id="rId218" Type="http://schemas.openxmlformats.org/officeDocument/2006/relationships/hyperlink" Target="https://digital.library.pitt.edu/islandora/object/pitt%3A31735066267745" TargetMode="External"/><Relationship Id="rId24" Type="http://schemas.openxmlformats.org/officeDocument/2006/relationships/hyperlink" Target="https://digital.library.pitt.edu/islandora/object/pitt%3A31735066267976" TargetMode="External"/><Relationship Id="rId45" Type="http://schemas.openxmlformats.org/officeDocument/2006/relationships/hyperlink" Target="https://digital.library.pitt.edu/islandora/object/pitt%3A31735066237565" TargetMode="External"/><Relationship Id="rId66" Type="http://schemas.openxmlformats.org/officeDocument/2006/relationships/hyperlink" Target="https://digital.library.pitt.edu/islandora/object/pitt%3A31735066267893" TargetMode="External"/><Relationship Id="rId87" Type="http://schemas.openxmlformats.org/officeDocument/2006/relationships/hyperlink" Target="https://digital.library.pitt.edu/islandora/object/pitt%3A31735066266739" TargetMode="External"/><Relationship Id="rId110" Type="http://schemas.openxmlformats.org/officeDocument/2006/relationships/hyperlink" Target="https://digital.library.pitt.edu/islandora/object/pitt%3A31735066266283" TargetMode="External"/><Relationship Id="rId131" Type="http://schemas.openxmlformats.org/officeDocument/2006/relationships/hyperlink" Target="https://digital.library.pitt.edu/islandora/object/pitt%3A31735068223399" TargetMode="External"/><Relationship Id="rId152" Type="http://schemas.openxmlformats.org/officeDocument/2006/relationships/hyperlink" Target="https://digital.library.pitt.edu/islandora/object/pitt%3A31735064607439" TargetMode="External"/><Relationship Id="rId173" Type="http://schemas.openxmlformats.org/officeDocument/2006/relationships/hyperlink" Target="https://digital.library.pitt.edu/islandora/object/pitt%3A31735068223456" TargetMode="External"/><Relationship Id="rId194" Type="http://schemas.openxmlformats.org/officeDocument/2006/relationships/hyperlink" Target="https://digital.library.pitt.edu/islandora/object/pitt%3A31735066266168" TargetMode="External"/><Relationship Id="rId208" Type="http://schemas.openxmlformats.org/officeDocument/2006/relationships/hyperlink" Target="https://digital.library.pitt.edu/islandora/object/pitt%3A31735066267778" TargetMode="External"/><Relationship Id="rId229" Type="http://schemas.openxmlformats.org/officeDocument/2006/relationships/hyperlink" Target="https://digital.library.pitt.edu/islandora/object/pitt%3A31735066267505" TargetMode="External"/><Relationship Id="rId14" Type="http://schemas.openxmlformats.org/officeDocument/2006/relationships/hyperlink" Target="https://digital.library.pitt.edu/islandora/object/pitt%3A31735064607843" TargetMode="External"/><Relationship Id="rId35" Type="http://schemas.openxmlformats.org/officeDocument/2006/relationships/hyperlink" Target="https://digital.library.pitt.edu/islandora/object/pitt%3A31735066267802" TargetMode="External"/><Relationship Id="rId56" Type="http://schemas.openxmlformats.org/officeDocument/2006/relationships/hyperlink" Target="https://digital.library.pitt.edu/islandora/object/pitt%3A31735064607785" TargetMode="External"/><Relationship Id="rId77" Type="http://schemas.openxmlformats.org/officeDocument/2006/relationships/hyperlink" Target="https://digital.library.pitt.edu/islandora/object/pitt%3A31735066237656" TargetMode="External"/><Relationship Id="rId100" Type="http://schemas.openxmlformats.org/officeDocument/2006/relationships/hyperlink" Target="https://digital.library.pitt.edu/islandora/object/pitt%3A31735066267588" TargetMode="External"/><Relationship Id="rId8" Type="http://schemas.openxmlformats.org/officeDocument/2006/relationships/hyperlink" Target="https://digital.library.pitt.edu/islandora/object/pitt%3A31735066237334" TargetMode="External"/><Relationship Id="rId98" Type="http://schemas.openxmlformats.org/officeDocument/2006/relationships/hyperlink" Target="https://digital.library.pitt.edu/islandora/object/pitt%3A31735064607686" TargetMode="External"/><Relationship Id="rId121" Type="http://schemas.openxmlformats.org/officeDocument/2006/relationships/hyperlink" Target="https://digital.library.pitt.edu/islandora/object/pitt%3A31735066237615" TargetMode="External"/><Relationship Id="rId142" Type="http://schemas.openxmlformats.org/officeDocument/2006/relationships/hyperlink" Target="https://digital.library.pitt.edu/islandora/object/pitt%3A31735066266697" TargetMode="External"/><Relationship Id="rId163" Type="http://schemas.openxmlformats.org/officeDocument/2006/relationships/hyperlink" Target="https://digital.library.pitt.edu/islandora/object/pitt%3A31735066266655" TargetMode="External"/><Relationship Id="rId184" Type="http://schemas.openxmlformats.org/officeDocument/2006/relationships/hyperlink" Target="https://digital.library.pitt.edu/islandora/object/pitt%3A31735066267554" TargetMode="External"/><Relationship Id="rId219" Type="http://schemas.openxmlformats.org/officeDocument/2006/relationships/hyperlink" Target="https://digital.library.pitt.edu/islandora/object/pitt%3A31735066267752" TargetMode="External"/><Relationship Id="rId230" Type="http://schemas.openxmlformats.org/officeDocument/2006/relationships/hyperlink" Target="https://digital.library.pitt.edu/islandora/object/pitt%3A31735066268024" TargetMode="External"/><Relationship Id="rId25" Type="http://schemas.openxmlformats.org/officeDocument/2006/relationships/hyperlink" Target="https://digital.library.pitt.edu/islandora/object/pitt%3A31735066266515" TargetMode="External"/><Relationship Id="rId46" Type="http://schemas.openxmlformats.org/officeDocument/2006/relationships/hyperlink" Target="https://digital.library.pitt.edu/islandora/object/pitt%3A31735066266473" TargetMode="External"/><Relationship Id="rId67" Type="http://schemas.openxmlformats.org/officeDocument/2006/relationships/hyperlink" Target="https://digital.library.pitt.edu/islandora/object/pitt%3A31735066237698" TargetMode="External"/><Relationship Id="rId20" Type="http://schemas.openxmlformats.org/officeDocument/2006/relationships/hyperlink" Target="https://digital.library.pitt.edu/islandora/object/pitt%3A31735066267687" TargetMode="External"/><Relationship Id="rId41" Type="http://schemas.openxmlformats.org/officeDocument/2006/relationships/hyperlink" Target="https://digital.library.pitt.edu/islandora/object/pitt%3A31735068223266" TargetMode="External"/><Relationship Id="rId62" Type="http://schemas.openxmlformats.org/officeDocument/2006/relationships/hyperlink" Target="https://digital.library.pitt.edu/islandora/object/pitt%3A31735064607413" TargetMode="External"/><Relationship Id="rId83" Type="http://schemas.openxmlformats.org/officeDocument/2006/relationships/hyperlink" Target="https://digital.library.pitt.edu/islandora/object/pitt%3A31735066237672" TargetMode="External"/><Relationship Id="rId88" Type="http://schemas.openxmlformats.org/officeDocument/2006/relationships/hyperlink" Target="https://digital.library.pitt.edu/islandora/object/pitt%3A31735068223316" TargetMode="External"/><Relationship Id="rId111" Type="http://schemas.openxmlformats.org/officeDocument/2006/relationships/hyperlink" Target="https://digital.library.pitt.edu/islandora/object/pitt%3A31735066266390" TargetMode="External"/><Relationship Id="rId132" Type="http://schemas.openxmlformats.org/officeDocument/2006/relationships/hyperlink" Target="https://digital.library.pitt.edu/islandora/object/pitt%3A31735064607777" TargetMode="External"/><Relationship Id="rId153" Type="http://schemas.openxmlformats.org/officeDocument/2006/relationships/hyperlink" Target="https://digital.library.pitt.edu/islandora/object/pitt%3A31735066267869" TargetMode="External"/><Relationship Id="rId174" Type="http://schemas.openxmlformats.org/officeDocument/2006/relationships/hyperlink" Target="https://digital.library.pitt.edu/islandora/object/pitt%3A31735066266671" TargetMode="External"/><Relationship Id="rId179" Type="http://schemas.openxmlformats.org/officeDocument/2006/relationships/hyperlink" Target="https://digital.library.pitt.edu/islandora/object/pitt%3A31735066267695" TargetMode="External"/><Relationship Id="rId195" Type="http://schemas.openxmlformats.org/officeDocument/2006/relationships/hyperlink" Target="https://digital.library.pitt.edu/islandora/object/pitt%3A31735066266176" TargetMode="External"/><Relationship Id="rId209" Type="http://schemas.openxmlformats.org/officeDocument/2006/relationships/hyperlink" Target="https://digital.library.pitt.edu/islandora/object/pitt%3A31735066267653" TargetMode="External"/><Relationship Id="rId190" Type="http://schemas.openxmlformats.org/officeDocument/2006/relationships/hyperlink" Target="https://digital.library.pitt.edu/islandora/object/pitt%3A31735066266507" TargetMode="External"/><Relationship Id="rId204" Type="http://schemas.openxmlformats.org/officeDocument/2006/relationships/hyperlink" Target="https://digital.library.pitt.edu/islandora/object/pitt%3A31735066266333" TargetMode="External"/><Relationship Id="rId220" Type="http://schemas.openxmlformats.org/officeDocument/2006/relationships/hyperlink" Target="https://digital.library.pitt.edu/islandora/object/pitt%3A31735066267463" TargetMode="External"/><Relationship Id="rId225" Type="http://schemas.openxmlformats.org/officeDocument/2006/relationships/hyperlink" Target="https://digital.library.pitt.edu/islandora/object/pitt%3A31735066267562" TargetMode="External"/><Relationship Id="rId15" Type="http://schemas.openxmlformats.org/officeDocument/2006/relationships/hyperlink" Target="https://digital.library.pitt.edu/islandora/object/pitt%3A31735066266705" TargetMode="External"/><Relationship Id="rId36" Type="http://schemas.openxmlformats.org/officeDocument/2006/relationships/hyperlink" Target="https://digital.library.pitt.edu/islandora/object/pitt%3A31735066267885" TargetMode="External"/><Relationship Id="rId57" Type="http://schemas.openxmlformats.org/officeDocument/2006/relationships/hyperlink" Target="https://digital.library.pitt.edu/islandora/object/pitt%3A31735064607520" TargetMode="External"/><Relationship Id="rId106" Type="http://schemas.openxmlformats.org/officeDocument/2006/relationships/hyperlink" Target="https://digital.library.pitt.edu/islandora/object/pitt%3A31735066266531" TargetMode="External"/><Relationship Id="rId127" Type="http://schemas.openxmlformats.org/officeDocument/2006/relationships/hyperlink" Target="https://digital.library.pitt.edu/islandora/object/pitt%3A31735066237680" TargetMode="External"/><Relationship Id="rId10" Type="http://schemas.openxmlformats.org/officeDocument/2006/relationships/hyperlink" Target="https://digital.library.pitt.edu/islandora/object/pitt%3A31735066267844" TargetMode="External"/><Relationship Id="rId31" Type="http://schemas.openxmlformats.org/officeDocument/2006/relationships/hyperlink" Target="https://digital.library.pitt.edu/islandora/object/pitt%3A31735066266374" TargetMode="External"/><Relationship Id="rId52" Type="http://schemas.openxmlformats.org/officeDocument/2006/relationships/hyperlink" Target="https://digital.library.pitt.edu/islandora/object/pitt%3A31735064607587" TargetMode="External"/><Relationship Id="rId73" Type="http://schemas.openxmlformats.org/officeDocument/2006/relationships/hyperlink" Target="https://digital.library.pitt.edu/islandora/object/pitt%3A31735068223290" TargetMode="External"/><Relationship Id="rId78" Type="http://schemas.openxmlformats.org/officeDocument/2006/relationships/hyperlink" Target="https://digital.library.pitt.edu/islandora/object/pitt%3A31735064607645" TargetMode="External"/><Relationship Id="rId94" Type="http://schemas.openxmlformats.org/officeDocument/2006/relationships/hyperlink" Target="https://digital.library.pitt.edu/islandora/object/pitt%3A31735068223324" TargetMode="External"/><Relationship Id="rId99" Type="http://schemas.openxmlformats.org/officeDocument/2006/relationships/hyperlink" Target="https://digital.library.pitt.edu/islandora/object/pitt%3A31735066237730" TargetMode="External"/><Relationship Id="rId101" Type="http://schemas.openxmlformats.org/officeDocument/2006/relationships/hyperlink" Target="https://digital.library.pitt.edu/islandora/object/pitt%3A31735068223357" TargetMode="External"/><Relationship Id="rId122" Type="http://schemas.openxmlformats.org/officeDocument/2006/relationships/hyperlink" Target="https://digital.library.pitt.edu/islandora/object/pitt%3A31735066237623" TargetMode="External"/><Relationship Id="rId143" Type="http://schemas.openxmlformats.org/officeDocument/2006/relationships/hyperlink" Target="https://digital.library.pitt.edu/islandora/object/pitt%3A31735066266549" TargetMode="External"/><Relationship Id="rId148" Type="http://schemas.openxmlformats.org/officeDocument/2006/relationships/hyperlink" Target="https://digital.library.pitt.edu/islandora/object/pitt%3A31735066266606" TargetMode="External"/><Relationship Id="rId164" Type="http://schemas.openxmlformats.org/officeDocument/2006/relationships/hyperlink" Target="https://digital.library.pitt.edu/islandora/object/pitt%3A31735068223449" TargetMode="External"/><Relationship Id="rId169" Type="http://schemas.openxmlformats.org/officeDocument/2006/relationships/hyperlink" Target="https://digital.library.pitt.edu/islandora/object/pitt%3A31735066266762" TargetMode="External"/><Relationship Id="rId185" Type="http://schemas.openxmlformats.org/officeDocument/2006/relationships/hyperlink" Target="https://digital.library.pitt.edu/islandora/object/pitt%3A31735064607637" TargetMode="External"/><Relationship Id="rId4" Type="http://schemas.openxmlformats.org/officeDocument/2006/relationships/hyperlink" Target="https://digital.library.pitt.edu/islandora/object/pitt%3A31735064607546" TargetMode="External"/><Relationship Id="rId9" Type="http://schemas.openxmlformats.org/officeDocument/2006/relationships/hyperlink" Target="https://digital.library.pitt.edu/islandora/object/pitt%3A31735064607678" TargetMode="External"/><Relationship Id="rId180" Type="http://schemas.openxmlformats.org/officeDocument/2006/relationships/hyperlink" Target="https://digital.library.pitt.edu/islandora/object/pitt%3A31735064607553" TargetMode="External"/><Relationship Id="rId210" Type="http://schemas.openxmlformats.org/officeDocument/2006/relationships/hyperlink" Target="https://digital.library.pitt.edu/islandora/object/pitt%3A31735066267927" TargetMode="External"/><Relationship Id="rId215" Type="http://schemas.openxmlformats.org/officeDocument/2006/relationships/hyperlink" Target="https://digital.library.pitt.edu/islandora/object/pitt%3A31735068223472" TargetMode="External"/><Relationship Id="rId26" Type="http://schemas.openxmlformats.org/officeDocument/2006/relationships/hyperlink" Target="https://digital.library.pitt.edu/islandora/object/pitt%3A31735066266259" TargetMode="External"/><Relationship Id="rId231" Type="http://schemas.openxmlformats.org/officeDocument/2006/relationships/hyperlink" Target="https://digital.library.pitt.edu/islandora/object/pitt%3A31735064607603" TargetMode="External"/><Relationship Id="rId47" Type="http://schemas.openxmlformats.org/officeDocument/2006/relationships/hyperlink" Target="https://digital.library.pitt.edu/islandora/object/pitt%3A31735066267737" TargetMode="External"/><Relationship Id="rId68" Type="http://schemas.openxmlformats.org/officeDocument/2006/relationships/hyperlink" Target="https://digital.library.pitt.edu/islandora/object/pitt%3A31735066266382" TargetMode="External"/><Relationship Id="rId89" Type="http://schemas.openxmlformats.org/officeDocument/2006/relationships/hyperlink" Target="https://digital.library.pitt.edu/islandora/object/pitt%3A31735066267851" TargetMode="External"/><Relationship Id="rId112" Type="http://schemas.openxmlformats.org/officeDocument/2006/relationships/hyperlink" Target="https://digital.library.pitt.edu/islandora/object/pitt%3A31735066237441" TargetMode="External"/><Relationship Id="rId133" Type="http://schemas.openxmlformats.org/officeDocument/2006/relationships/hyperlink" Target="https://digital.library.pitt.edu/islandora/object/pitt%3A31735066267943" TargetMode="External"/><Relationship Id="rId154" Type="http://schemas.openxmlformats.org/officeDocument/2006/relationships/hyperlink" Target="https://digital.library.pitt.edu/islandora/object/pitt%3A31735068223415" TargetMode="External"/><Relationship Id="rId175" Type="http://schemas.openxmlformats.org/officeDocument/2006/relationships/hyperlink" Target="https://digital.library.pitt.edu/islandora/object/pitt%3A31735066266622" TargetMode="External"/><Relationship Id="rId196" Type="http://schemas.openxmlformats.org/officeDocument/2006/relationships/hyperlink" Target="https://digital.library.pitt.edu/islandora/object/pitt%3A31735066266184" TargetMode="External"/><Relationship Id="rId200" Type="http://schemas.openxmlformats.org/officeDocument/2006/relationships/hyperlink" Target="https://digital.library.pitt.edu/islandora/object/pitt%3A31735066266226" TargetMode="External"/><Relationship Id="rId16" Type="http://schemas.openxmlformats.org/officeDocument/2006/relationships/hyperlink" Target="https://digital.library.pitt.edu/islandora/object/pitt%3A31735064607579" TargetMode="External"/><Relationship Id="rId221" Type="http://schemas.openxmlformats.org/officeDocument/2006/relationships/hyperlink" Target="https://digital.library.pitt.edu/islandora/object/pitt%3A31735066267612" TargetMode="External"/><Relationship Id="rId37" Type="http://schemas.openxmlformats.org/officeDocument/2006/relationships/hyperlink" Target="https://digital.library.pitt.edu/islandora/object/pitt%3A31735064607454" TargetMode="External"/><Relationship Id="rId58" Type="http://schemas.openxmlformats.org/officeDocument/2006/relationships/hyperlink" Target="https://digital.library.pitt.edu/islandora/object/pitt%3A31735066266648" TargetMode="External"/><Relationship Id="rId79" Type="http://schemas.openxmlformats.org/officeDocument/2006/relationships/hyperlink" Target="https://digital.library.pitt.edu/islandora/object/pitt%3A31735066267810" TargetMode="External"/><Relationship Id="rId102" Type="http://schemas.openxmlformats.org/officeDocument/2006/relationships/hyperlink" Target="https://digital.library.pitt.edu/islandora/object/pitt%3A31735064607736" TargetMode="External"/><Relationship Id="rId123" Type="http://schemas.openxmlformats.org/officeDocument/2006/relationships/hyperlink" Target="https://digital.library.pitt.edu/islandora/object/pitt%3A31735066237649" TargetMode="External"/><Relationship Id="rId144" Type="http://schemas.openxmlformats.org/officeDocument/2006/relationships/hyperlink" Target="https://digital.library.pitt.edu/islandora/object/pitt%3A31735068223407" TargetMode="External"/><Relationship Id="rId90" Type="http://schemas.openxmlformats.org/officeDocument/2006/relationships/hyperlink" Target="https://digital.library.pitt.edu/islandora/object/pitt%3A31735066237557" TargetMode="External"/><Relationship Id="rId165" Type="http://schemas.openxmlformats.org/officeDocument/2006/relationships/hyperlink" Target="https://digital.library.pitt.edu/islandora/object/pitt%3A31735066237516" TargetMode="External"/><Relationship Id="rId186" Type="http://schemas.openxmlformats.org/officeDocument/2006/relationships/hyperlink" Target="https://digital.library.pitt.edu/islandora/object/pitt%3A31735066266481" TargetMode="External"/><Relationship Id="rId211" Type="http://schemas.openxmlformats.org/officeDocument/2006/relationships/hyperlink" Target="https://digital.library.pitt.edu/islandora/object/pitt%3A31735066267679" TargetMode="External"/><Relationship Id="rId232" Type="http://schemas.openxmlformats.org/officeDocument/2006/relationships/hyperlink" Target="https://digital.library.pitt.edu/islandora/object/pitt%3A31735066266440" TargetMode="External"/><Relationship Id="rId27" Type="http://schemas.openxmlformats.org/officeDocument/2006/relationships/hyperlink" Target="https://digital.library.pitt.edu/islandora/object/pitt%3A31735066266408" TargetMode="External"/><Relationship Id="rId48" Type="http://schemas.openxmlformats.org/officeDocument/2006/relationships/hyperlink" Target="https://digital.library.pitt.edu/islandora/object/pitt%3A31735066237391" TargetMode="External"/><Relationship Id="rId69" Type="http://schemas.openxmlformats.org/officeDocument/2006/relationships/hyperlink" Target="https://digital.library.pitt.edu/islandora/object/pitt%3A31735064607876" TargetMode="External"/><Relationship Id="rId113" Type="http://schemas.openxmlformats.org/officeDocument/2006/relationships/hyperlink" Target="https://digital.library.pitt.edu/islandora/object/pitt%3A31735066267760" TargetMode="External"/><Relationship Id="rId134" Type="http://schemas.openxmlformats.org/officeDocument/2006/relationships/hyperlink" Target="https://digital.library.pitt.edu/islandora/object/pitt%3A31735066237664" TargetMode="External"/><Relationship Id="rId80" Type="http://schemas.openxmlformats.org/officeDocument/2006/relationships/hyperlink" Target="https://digital.library.pitt.edu/islandora/object/pitt%3A31735064607793" TargetMode="External"/><Relationship Id="rId155" Type="http://schemas.openxmlformats.org/officeDocument/2006/relationships/hyperlink" Target="https://digital.library.pitt.edu/islandora/object/pitt%3A31735068223423" TargetMode="External"/><Relationship Id="rId176" Type="http://schemas.openxmlformats.org/officeDocument/2006/relationships/hyperlink" Target="https://digital.library.pitt.edu/islandora/object/pitt%3A31735066266663" TargetMode="External"/><Relationship Id="rId197" Type="http://schemas.openxmlformats.org/officeDocument/2006/relationships/hyperlink" Target="https://digital.library.pitt.edu/islandora/object/pitt%3A31735066266192" TargetMode="External"/><Relationship Id="rId201" Type="http://schemas.openxmlformats.org/officeDocument/2006/relationships/hyperlink" Target="https://digital.library.pitt.edu/islandora/object/pitt%3A31735066266234" TargetMode="External"/><Relationship Id="rId222" Type="http://schemas.openxmlformats.org/officeDocument/2006/relationships/hyperlink" Target="https://digital.library.pitt.edu/islandora/object/pitt%3A31735066267414" TargetMode="External"/><Relationship Id="rId17" Type="http://schemas.openxmlformats.org/officeDocument/2006/relationships/hyperlink" Target="https://digital.library.pitt.edu/islandora/object/pitt%3A31735066237409" TargetMode="External"/><Relationship Id="rId38" Type="http://schemas.openxmlformats.org/officeDocument/2006/relationships/hyperlink" Target="https://digital.library.pitt.edu/islandora/object/pitt%3A31735064607728" TargetMode="External"/><Relationship Id="rId59" Type="http://schemas.openxmlformats.org/officeDocument/2006/relationships/hyperlink" Target="https://digital.library.pitt.edu/islandora/object/pitt%3A31735064607801" TargetMode="External"/><Relationship Id="rId103" Type="http://schemas.openxmlformats.org/officeDocument/2006/relationships/hyperlink" Target="https://digital.library.pitt.edu/islandora/object/pitt%3A31735064607744" TargetMode="External"/><Relationship Id="rId124" Type="http://schemas.openxmlformats.org/officeDocument/2006/relationships/hyperlink" Target="https://digital.library.pitt.edu/islandora/object/pitt%3A31735066267703" TargetMode="External"/><Relationship Id="rId70" Type="http://schemas.openxmlformats.org/officeDocument/2006/relationships/hyperlink" Target="https://digital.library.pitt.edu/islandora/object/pitt%3A31735066266416" TargetMode="External"/><Relationship Id="rId91" Type="http://schemas.openxmlformats.org/officeDocument/2006/relationships/hyperlink" Target="https://digital.library.pitt.edu/islandora/object/pitt%3A31735066237532" TargetMode="External"/><Relationship Id="rId145" Type="http://schemas.openxmlformats.org/officeDocument/2006/relationships/hyperlink" Target="https://digital.library.pitt.edu/islandora/object/pitt%3A31735066267489" TargetMode="External"/><Relationship Id="rId166" Type="http://schemas.openxmlformats.org/officeDocument/2006/relationships/hyperlink" Target="https://digital.library.pitt.edu/islandora/object/pitt%3A31735066237524" TargetMode="External"/><Relationship Id="rId187" Type="http://schemas.openxmlformats.org/officeDocument/2006/relationships/hyperlink" Target="https://digital.library.pitt.edu/islandora/object/pitt%3A31735066266598" TargetMode="External"/><Relationship Id="rId1" Type="http://schemas.openxmlformats.org/officeDocument/2006/relationships/hyperlink" Target="https://digital.library.pitt.edu/islandora/object/pitt%3A31735066267786" TargetMode="External"/><Relationship Id="rId212" Type="http://schemas.openxmlformats.org/officeDocument/2006/relationships/hyperlink" Target="https://digital.library.pitt.edu/islandora/object/pitt%3A31735066267794" TargetMode="External"/><Relationship Id="rId233" Type="http://schemas.openxmlformats.org/officeDocument/2006/relationships/hyperlink" Target="https://digital.library.pitt.edu/islandora/object/pitt%3A31735066266465" TargetMode="External"/><Relationship Id="rId28" Type="http://schemas.openxmlformats.org/officeDocument/2006/relationships/hyperlink" Target="https://digital.library.pitt.edu/islandora/object/pitt%3A31735066266556" TargetMode="External"/><Relationship Id="rId49" Type="http://schemas.openxmlformats.org/officeDocument/2006/relationships/hyperlink" Target="https://digital.library.pitt.edu/islandora/object/pitt%3A31735066268040" TargetMode="External"/><Relationship Id="rId114" Type="http://schemas.openxmlformats.org/officeDocument/2006/relationships/hyperlink" Target="https://digital.library.pitt.edu/islandora/object/pitt%3A31735064607561" TargetMode="External"/><Relationship Id="rId60" Type="http://schemas.openxmlformats.org/officeDocument/2006/relationships/hyperlink" Target="https://digital.library.pitt.edu/islandora/object/pitt%3A31735064607751" TargetMode="External"/><Relationship Id="rId81" Type="http://schemas.openxmlformats.org/officeDocument/2006/relationships/hyperlink" Target="https://digital.library.pitt.edu/islandora/object/pitt%3A31735064607827" TargetMode="External"/><Relationship Id="rId135" Type="http://schemas.openxmlformats.org/officeDocument/2006/relationships/hyperlink" Target="https://digital.library.pitt.edu/islandora/object/pitt%3A31735064607611" TargetMode="External"/><Relationship Id="rId156" Type="http://schemas.openxmlformats.org/officeDocument/2006/relationships/hyperlink" Target="https://digital.library.pitt.edu/islandora/object/pitt%3A31735068223431" TargetMode="External"/><Relationship Id="rId177" Type="http://schemas.openxmlformats.org/officeDocument/2006/relationships/hyperlink" Target="https://digital.library.pitt.edu/islandora/object/pitt%3A31735066237706" TargetMode="External"/><Relationship Id="rId198" Type="http://schemas.openxmlformats.org/officeDocument/2006/relationships/hyperlink" Target="https://digital.library.pitt.edu/islandora/object/pitt%3A31735066266200" TargetMode="External"/><Relationship Id="rId202" Type="http://schemas.openxmlformats.org/officeDocument/2006/relationships/hyperlink" Target="https://digital.library.pitt.edu/islandora/object/pitt%3A31735066266242" TargetMode="External"/><Relationship Id="rId223" Type="http://schemas.openxmlformats.org/officeDocument/2006/relationships/hyperlink" Target="https://digital.library.pitt.edu/islandora/object/pitt%3A31735066267430" TargetMode="External"/><Relationship Id="rId18" Type="http://schemas.openxmlformats.org/officeDocument/2006/relationships/hyperlink" Target="https://digital.library.pitt.edu/islandora/object/pitt%3A31735066267471" TargetMode="External"/><Relationship Id="rId39" Type="http://schemas.openxmlformats.org/officeDocument/2006/relationships/hyperlink" Target="https://digital.library.pitt.edu/islandora/object/pitt%3A31735066267448" TargetMode="External"/><Relationship Id="rId50" Type="http://schemas.openxmlformats.org/officeDocument/2006/relationships/hyperlink" Target="https://digital.library.pitt.edu/islandora/object/pitt%3A31735066237573" TargetMode="External"/><Relationship Id="rId104" Type="http://schemas.openxmlformats.org/officeDocument/2006/relationships/hyperlink" Target="https://digital.library.pitt.edu/islandora/object/pitt%3A31735064607884" TargetMode="External"/><Relationship Id="rId125" Type="http://schemas.openxmlformats.org/officeDocument/2006/relationships/hyperlink" Target="https://digital.library.pitt.edu/islandora/object/pitt%3A31735066237508" TargetMode="External"/><Relationship Id="rId146" Type="http://schemas.openxmlformats.org/officeDocument/2006/relationships/hyperlink" Target="https://digital.library.pitt.edu/islandora/object/pitt%3A31735066266614" TargetMode="External"/><Relationship Id="rId167" Type="http://schemas.openxmlformats.org/officeDocument/2006/relationships/hyperlink" Target="https://digital.library.pitt.edu/islandora/object/pitt%3A31735066267521" TargetMode="External"/><Relationship Id="rId188" Type="http://schemas.openxmlformats.org/officeDocument/2006/relationships/hyperlink" Target="https://digital.library.pitt.edu/islandora/object/pitt%3A31735066266432" TargetMode="External"/><Relationship Id="rId71" Type="http://schemas.openxmlformats.org/officeDocument/2006/relationships/hyperlink" Target="https://digital.library.pitt.edu/islandora/object/pitt%3A31735066267901" TargetMode="External"/><Relationship Id="rId92" Type="http://schemas.openxmlformats.org/officeDocument/2006/relationships/hyperlink" Target="https://digital.library.pitt.edu/islandora/object/pitt%3A31735064607702" TargetMode="External"/><Relationship Id="rId213" Type="http://schemas.openxmlformats.org/officeDocument/2006/relationships/hyperlink" Target="https://digital.library.pitt.edu/islandora/object/pitt%3A31735066267455" TargetMode="External"/><Relationship Id="rId234" Type="http://schemas.openxmlformats.org/officeDocument/2006/relationships/hyperlink" Target="https://digital.library.pitt.edu/islandora/object/pitt%3A31735066268032" TargetMode="External"/><Relationship Id="rId2" Type="http://schemas.openxmlformats.org/officeDocument/2006/relationships/hyperlink" Target="https://digital.library.pitt.edu/islandora/object/pitt%3A31735066267711" TargetMode="External"/><Relationship Id="rId29" Type="http://schemas.openxmlformats.org/officeDocument/2006/relationships/hyperlink" Target="https://digital.library.pitt.edu/islandora/object/pitt%3A31735066266457" TargetMode="External"/><Relationship Id="rId40" Type="http://schemas.openxmlformats.org/officeDocument/2006/relationships/hyperlink" Target="https://digital.library.pitt.edu/islandora/object/pitt%3A31735066237359" TargetMode="External"/><Relationship Id="rId115" Type="http://schemas.openxmlformats.org/officeDocument/2006/relationships/hyperlink" Target="https://digital.library.pitt.edu/islandora/object/pitt%3A31735066267638" TargetMode="External"/><Relationship Id="rId136" Type="http://schemas.openxmlformats.org/officeDocument/2006/relationships/hyperlink" Target="https://digital.library.pitt.edu/islandora/object/pitt%3A31735066237474" TargetMode="External"/><Relationship Id="rId157" Type="http://schemas.openxmlformats.org/officeDocument/2006/relationships/hyperlink" Target="https://digital.library.pitt.edu/islandora/object/pitt%3A31735066237458" TargetMode="External"/><Relationship Id="rId178" Type="http://schemas.openxmlformats.org/officeDocument/2006/relationships/hyperlink" Target="https://digital.library.pitt.edu/islandora/object/pitt%3A31735066237763" TargetMode="External"/><Relationship Id="rId61" Type="http://schemas.openxmlformats.org/officeDocument/2006/relationships/hyperlink" Target="https://digital.library.pitt.edu/islandora/object/pitt%3A31735064607769" TargetMode="External"/><Relationship Id="rId82" Type="http://schemas.openxmlformats.org/officeDocument/2006/relationships/hyperlink" Target="https://digital.library.pitt.edu/islandora/object/pitt%3A31735064607819" TargetMode="External"/><Relationship Id="rId199" Type="http://schemas.openxmlformats.org/officeDocument/2006/relationships/hyperlink" Target="https://digital.library.pitt.edu/islandora/object/pitt%3A31735066266218" TargetMode="External"/><Relationship Id="rId203" Type="http://schemas.openxmlformats.org/officeDocument/2006/relationships/hyperlink" Target="https://digital.library.pitt.edu/islandora/object/pitt%3A31735066237771" TargetMode="External"/><Relationship Id="rId19" Type="http://schemas.openxmlformats.org/officeDocument/2006/relationships/hyperlink" Target="https://digital.library.pitt.edu/islandora/object/pitt%3A31735064607850" TargetMode="External"/><Relationship Id="rId224" Type="http://schemas.openxmlformats.org/officeDocument/2006/relationships/hyperlink" Target="https://digital.library.pitt.edu/islandora/object/pitt%3A31735066267497" TargetMode="External"/><Relationship Id="rId30" Type="http://schemas.openxmlformats.org/officeDocument/2006/relationships/hyperlink" Target="https://digital.library.pitt.edu/islandora/object/pitt%3A31735066266366" TargetMode="External"/><Relationship Id="rId105" Type="http://schemas.openxmlformats.org/officeDocument/2006/relationships/hyperlink" Target="https://digital.library.pitt.edu/islandora/object/pitt%3A31735064607694" TargetMode="External"/><Relationship Id="rId126" Type="http://schemas.openxmlformats.org/officeDocument/2006/relationships/hyperlink" Target="https://digital.library.pitt.edu/islandora/object/pitt%3A31735066267513" TargetMode="External"/><Relationship Id="rId147" Type="http://schemas.openxmlformats.org/officeDocument/2006/relationships/hyperlink" Target="https://digital.library.pitt.edu/islandora/object/pitt%3A31735066266341" TargetMode="External"/><Relationship Id="rId168" Type="http://schemas.openxmlformats.org/officeDocument/2006/relationships/hyperlink" Target="https://digital.library.pitt.edu/islandora/object/pitt%3A31735066266564" TargetMode="External"/><Relationship Id="rId51" Type="http://schemas.openxmlformats.org/officeDocument/2006/relationships/hyperlink" Target="https://digital.library.pitt.edu/islandora/object/pitt%3A31735066237342" TargetMode="External"/><Relationship Id="rId72" Type="http://schemas.openxmlformats.org/officeDocument/2006/relationships/hyperlink" Target="https://digital.library.pitt.edu/islandora/object/pitt%3A31735066267620" TargetMode="External"/><Relationship Id="rId93" Type="http://schemas.openxmlformats.org/officeDocument/2006/relationships/hyperlink" Target="https://digital.library.pitt.edu/islandora/object/pitt%3A31735066237490" TargetMode="External"/><Relationship Id="rId189" Type="http://schemas.openxmlformats.org/officeDocument/2006/relationships/hyperlink" Target="https://digital.library.pitt.edu/islandora/object/pitt%3A31735066266499" TargetMode="External"/><Relationship Id="rId3" Type="http://schemas.openxmlformats.org/officeDocument/2006/relationships/hyperlink" Target="https://digital.library.pitt.edu/islandora/object/pitt%3A31735066267729" TargetMode="External"/><Relationship Id="rId214" Type="http://schemas.openxmlformats.org/officeDocument/2006/relationships/hyperlink" Target="https://digital.library.pitt.edu/islandora/object/pitt%3A31735066267877" TargetMode="External"/><Relationship Id="rId116" Type="http://schemas.openxmlformats.org/officeDocument/2006/relationships/hyperlink" Target="https://digital.library.pitt.edu/islandora/object/pitt%3A31735066237581" TargetMode="External"/><Relationship Id="rId137" Type="http://schemas.openxmlformats.org/officeDocument/2006/relationships/hyperlink" Target="https://digital.library.pitt.edu/islandora/object/pitt%3A31735066267596" TargetMode="External"/><Relationship Id="rId158" Type="http://schemas.openxmlformats.org/officeDocument/2006/relationships/hyperlink" Target="https://digital.library.pitt.edu/islandora/object/pitt%3A317350646074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D85A-E596-4A91-BA76-A272B9A73341}">
  <dimension ref="A1:B13"/>
  <sheetViews>
    <sheetView workbookViewId="0"/>
  </sheetViews>
  <sheetFormatPr defaultRowHeight="12.75" x14ac:dyDescent="0.4"/>
  <cols>
    <col min="1" max="1" width="12.59765625" style="1" customWidth="1"/>
    <col min="2" max="2" width="110.59765625" style="1" customWidth="1"/>
    <col min="3" max="16384" width="9.06640625" style="1"/>
  </cols>
  <sheetData>
    <row r="1" spans="1:2" ht="17.649999999999999" x14ac:dyDescent="0.4">
      <c r="A1" s="19" t="s">
        <v>3570</v>
      </c>
    </row>
    <row r="3" spans="1:2" ht="25.5" x14ac:dyDescent="0.4">
      <c r="A3" s="20" t="s">
        <v>3571</v>
      </c>
      <c r="B3" s="5" t="s">
        <v>3572</v>
      </c>
    </row>
    <row r="4" spans="1:2" ht="13.15" x14ac:dyDescent="0.4">
      <c r="A4" s="20" t="s">
        <v>3573</v>
      </c>
      <c r="B4" s="5" t="s">
        <v>3574</v>
      </c>
    </row>
    <row r="5" spans="1:2" ht="25.5" x14ac:dyDescent="0.4">
      <c r="A5" s="20" t="s">
        <v>3575</v>
      </c>
      <c r="B5" s="5" t="s">
        <v>3576</v>
      </c>
    </row>
    <row r="6" spans="1:2" ht="13.15" x14ac:dyDescent="0.4">
      <c r="A6" s="20" t="s">
        <v>28</v>
      </c>
      <c r="B6" s="5" t="s">
        <v>3577</v>
      </c>
    </row>
    <row r="7" spans="1:2" ht="13.15" x14ac:dyDescent="0.4">
      <c r="A7" s="20" t="s">
        <v>3578</v>
      </c>
      <c r="B7" s="5" t="s">
        <v>3579</v>
      </c>
    </row>
    <row r="8" spans="1:2" ht="25.5" x14ac:dyDescent="0.4">
      <c r="A8" s="20" t="s">
        <v>12</v>
      </c>
      <c r="B8" s="5" t="s">
        <v>3580</v>
      </c>
    </row>
    <row r="9" spans="1:2" ht="25.5" x14ac:dyDescent="0.4">
      <c r="A9" s="20" t="s">
        <v>3581</v>
      </c>
      <c r="B9" s="5" t="s">
        <v>3582</v>
      </c>
    </row>
    <row r="10" spans="1:2" ht="25.5" x14ac:dyDescent="0.4">
      <c r="A10" s="20" t="s">
        <v>27</v>
      </c>
      <c r="B10" s="5" t="s">
        <v>3583</v>
      </c>
    </row>
    <row r="11" spans="1:2" ht="25.5" x14ac:dyDescent="0.4">
      <c r="A11" s="20" t="s">
        <v>3584</v>
      </c>
      <c r="B11" s="5" t="s">
        <v>3585</v>
      </c>
    </row>
    <row r="12" spans="1:2" ht="13.15" x14ac:dyDescent="0.4">
      <c r="A12" s="20"/>
      <c r="B12" s="5"/>
    </row>
    <row r="13" spans="1:2" ht="25.5" x14ac:dyDescent="0.4">
      <c r="A13" s="20" t="s">
        <v>3586</v>
      </c>
      <c r="B13" s="5" t="s">
        <v>3587</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2B8F-DBC5-4481-B2DA-39C8EF4A5A89}">
  <dimension ref="A1:AI235"/>
  <sheetViews>
    <sheetView tabSelected="1" workbookViewId="0">
      <pane xSplit="3" ySplit="1" topLeftCell="D2" activePane="bottomRight" state="frozenSplit"/>
      <selection pane="bottomLeft" activeCell="A2" sqref="A2"/>
      <selection pane="topRight" activeCell="D1" sqref="D1"/>
      <selection pane="bottomRight" activeCell="A2" sqref="A2"/>
    </sheetView>
  </sheetViews>
  <sheetFormatPr defaultRowHeight="12.75" x14ac:dyDescent="0.4"/>
  <cols>
    <col min="1" max="1" width="5.59765625" style="1" customWidth="1"/>
    <col min="2" max="2" width="6.59765625" style="1" customWidth="1"/>
    <col min="3" max="3" width="14.59765625" style="1" customWidth="1"/>
    <col min="4" max="4" width="18.59765625" style="1" customWidth="1"/>
    <col min="5" max="5" width="20.59765625" style="1" customWidth="1"/>
    <col min="6" max="6" width="8.59765625" style="1" customWidth="1"/>
    <col min="7" max="7" width="18.59765625" style="1" customWidth="1"/>
    <col min="8" max="8" width="8.59765625" style="1" customWidth="1"/>
    <col min="9" max="9" width="16.59765625" style="1" customWidth="1"/>
    <col min="10" max="10" width="9.59765625" style="1" customWidth="1"/>
    <col min="11" max="11" width="26.59765625" style="1" customWidth="1"/>
    <col min="12" max="12" width="16.59765625" style="1" customWidth="1"/>
    <col min="13" max="13" width="9.59765625" style="1" customWidth="1"/>
    <col min="14" max="14" width="24.59765625" style="1" customWidth="1"/>
    <col min="15" max="15" width="11.59765625" style="1" customWidth="1"/>
    <col min="16" max="16" width="16.59765625" style="1" customWidth="1"/>
    <col min="17" max="17" width="40.59765625" style="1" customWidth="1"/>
    <col min="18" max="18" width="24.59765625" style="1" customWidth="1"/>
    <col min="19" max="19" width="10.59765625" style="1" customWidth="1"/>
    <col min="20" max="20" width="11.59765625" style="1" customWidth="1"/>
    <col min="21" max="21" width="18.59765625" style="1" customWidth="1"/>
    <col min="22" max="22" width="24.59765625" style="1" customWidth="1"/>
    <col min="23" max="23" width="12.59765625" style="1" customWidth="1"/>
    <col min="24" max="24" width="30.59765625" style="1" customWidth="1"/>
    <col min="25" max="25" width="26.59765625" style="1" customWidth="1"/>
    <col min="26" max="26" width="40.59765625" style="1" customWidth="1"/>
    <col min="27" max="27" width="44.59765625" style="1" customWidth="1"/>
    <col min="28" max="28" width="34.59765625" style="1" customWidth="1"/>
    <col min="29" max="29" width="7.59765625" style="1" customWidth="1"/>
    <col min="30" max="30" width="26.59765625" style="1" customWidth="1"/>
    <col min="31" max="31" width="6.59765625" style="1" customWidth="1"/>
    <col min="32" max="32" width="40.59765625" style="1" customWidth="1"/>
    <col min="33" max="33" width="11.59765625" style="1" customWidth="1"/>
    <col min="34" max="34" width="14.59765625" style="1" customWidth="1"/>
    <col min="35" max="35" width="16.59765625" style="1" customWidth="1"/>
    <col min="36" max="16384" width="9.06640625" style="1"/>
  </cols>
  <sheetData>
    <row r="1" spans="1:35" ht="30"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r="2" spans="1:35" ht="89.25" x14ac:dyDescent="0.4">
      <c r="A2" s="4">
        <v>1</v>
      </c>
      <c r="B2" s="5">
        <v>1</v>
      </c>
      <c r="C2" s="5" t="s">
        <v>35</v>
      </c>
      <c r="D2" s="5" t="s">
        <v>36</v>
      </c>
      <c r="E2" s="5" t="s">
        <v>37</v>
      </c>
      <c r="F2" s="5" t="s">
        <v>38</v>
      </c>
      <c r="G2" s="5" t="s">
        <v>39</v>
      </c>
      <c r="H2" s="4">
        <v>1584</v>
      </c>
      <c r="I2" s="5" t="s">
        <v>40</v>
      </c>
      <c r="J2" s="5" t="s">
        <v>41</v>
      </c>
      <c r="K2" s="5" t="s">
        <v>42</v>
      </c>
      <c r="L2" s="5"/>
      <c r="M2" s="5" t="s">
        <v>43</v>
      </c>
      <c r="N2" s="5" t="s">
        <v>44</v>
      </c>
      <c r="O2" s="5" t="s">
        <v>45</v>
      </c>
      <c r="P2" s="5" t="s">
        <v>45</v>
      </c>
      <c r="Q2" s="5" t="s">
        <v>46</v>
      </c>
      <c r="R2" s="5"/>
      <c r="S2" s="7"/>
      <c r="T2" s="5"/>
      <c r="U2" s="5"/>
      <c r="V2" s="5" t="s">
        <v>47</v>
      </c>
      <c r="W2" s="5"/>
      <c r="X2" s="5" t="s">
        <v>48</v>
      </c>
      <c r="Y2" s="5"/>
      <c r="Z2" s="5"/>
      <c r="AA2" s="5" t="s">
        <v>49</v>
      </c>
      <c r="AB2" s="5"/>
      <c r="AC2" s="5" t="s">
        <v>50</v>
      </c>
      <c r="AD2" s="5" t="s">
        <v>51</v>
      </c>
      <c r="AE2" s="5">
        <v>1</v>
      </c>
      <c r="AF2" s="5" t="s">
        <v>52</v>
      </c>
      <c r="AG2" s="5">
        <v>1584</v>
      </c>
      <c r="AH2" s="8" t="s">
        <v>3233</v>
      </c>
      <c r="AI2" s="5">
        <v>31735066267786</v>
      </c>
    </row>
    <row r="3" spans="1:35" ht="38.25" x14ac:dyDescent="0.4">
      <c r="A3" s="4">
        <v>1</v>
      </c>
      <c r="B3" s="5">
        <v>2</v>
      </c>
      <c r="C3" s="5" t="s">
        <v>53</v>
      </c>
      <c r="D3" s="5" t="s">
        <v>54</v>
      </c>
      <c r="E3" s="5" t="s">
        <v>55</v>
      </c>
      <c r="F3" s="5" t="s">
        <v>56</v>
      </c>
      <c r="G3" s="5" t="s">
        <v>57</v>
      </c>
      <c r="H3" s="4">
        <v>1659</v>
      </c>
      <c r="I3" s="5" t="s">
        <v>58</v>
      </c>
      <c r="J3" s="5" t="s">
        <v>41</v>
      </c>
      <c r="K3" s="5" t="s">
        <v>59</v>
      </c>
      <c r="L3" s="5" t="s">
        <v>60</v>
      </c>
      <c r="M3" s="5" t="s">
        <v>61</v>
      </c>
      <c r="N3" s="5" t="s">
        <v>62</v>
      </c>
      <c r="O3" s="5" t="s">
        <v>63</v>
      </c>
      <c r="P3" s="5" t="s">
        <v>64</v>
      </c>
      <c r="Q3" s="5" t="s">
        <v>65</v>
      </c>
      <c r="R3" s="5" t="s">
        <v>66</v>
      </c>
      <c r="S3" s="7">
        <v>0.5</v>
      </c>
      <c r="T3" s="5" t="s">
        <v>67</v>
      </c>
      <c r="U3" s="5" t="s">
        <v>68</v>
      </c>
      <c r="V3" s="5" t="s">
        <v>69</v>
      </c>
      <c r="W3" s="5" t="s">
        <v>70</v>
      </c>
      <c r="X3" s="5" t="s">
        <v>71</v>
      </c>
      <c r="Y3" s="5" t="s">
        <v>72</v>
      </c>
      <c r="Z3" s="5"/>
      <c r="AA3" s="5" t="s">
        <v>73</v>
      </c>
      <c r="AB3" s="5"/>
      <c r="AC3" s="5" t="s">
        <v>50</v>
      </c>
      <c r="AD3" s="5" t="s">
        <v>74</v>
      </c>
      <c r="AE3" s="5">
        <v>1</v>
      </c>
      <c r="AF3" s="5" t="s">
        <v>75</v>
      </c>
      <c r="AG3" s="5">
        <v>1659</v>
      </c>
      <c r="AH3" s="8" t="s">
        <v>3233</v>
      </c>
      <c r="AI3" s="5">
        <v>31735066267711</v>
      </c>
    </row>
    <row r="4" spans="1:35" ht="51" x14ac:dyDescent="0.4">
      <c r="A4" s="4">
        <v>1</v>
      </c>
      <c r="B4" s="5">
        <v>3</v>
      </c>
      <c r="C4" s="5" t="s">
        <v>53</v>
      </c>
      <c r="D4" s="5" t="s">
        <v>54</v>
      </c>
      <c r="E4" s="5" t="s">
        <v>55</v>
      </c>
      <c r="F4" s="5" t="s">
        <v>76</v>
      </c>
      <c r="G4" s="5" t="s">
        <v>77</v>
      </c>
      <c r="H4" s="4">
        <v>1678</v>
      </c>
      <c r="I4" s="5" t="s">
        <v>78</v>
      </c>
      <c r="J4" s="5" t="s">
        <v>41</v>
      </c>
      <c r="K4" s="5" t="s">
        <v>79</v>
      </c>
      <c r="L4" s="5" t="s">
        <v>80</v>
      </c>
      <c r="M4" s="5" t="s">
        <v>81</v>
      </c>
      <c r="N4" s="5" t="s">
        <v>82</v>
      </c>
      <c r="O4" s="5" t="s">
        <v>83</v>
      </c>
      <c r="P4" s="5" t="s">
        <v>84</v>
      </c>
      <c r="Q4" s="5" t="s">
        <v>85</v>
      </c>
      <c r="R4" s="5" t="s">
        <v>86</v>
      </c>
      <c r="S4" s="7">
        <v>18</v>
      </c>
      <c r="T4" s="5" t="s">
        <v>67</v>
      </c>
      <c r="U4" s="5" t="s">
        <v>87</v>
      </c>
      <c r="V4" s="5"/>
      <c r="W4" s="5" t="s">
        <v>88</v>
      </c>
      <c r="X4" s="5" t="s">
        <v>89</v>
      </c>
      <c r="Y4" s="5" t="s">
        <v>90</v>
      </c>
      <c r="Z4" s="5"/>
      <c r="AA4" s="5" t="s">
        <v>91</v>
      </c>
      <c r="AB4" s="5" t="s">
        <v>92</v>
      </c>
      <c r="AC4" s="5" t="s">
        <v>50</v>
      </c>
      <c r="AD4" s="5" t="s">
        <v>93</v>
      </c>
      <c r="AE4" s="5">
        <v>1</v>
      </c>
      <c r="AF4" s="5" t="s">
        <v>94</v>
      </c>
      <c r="AG4" s="5">
        <v>1678</v>
      </c>
      <c r="AH4" s="8" t="s">
        <v>3233</v>
      </c>
      <c r="AI4" s="5">
        <v>31735066267729</v>
      </c>
    </row>
    <row r="5" spans="1:35" ht="63.75" x14ac:dyDescent="0.4">
      <c r="A5" s="4">
        <v>1</v>
      </c>
      <c r="B5" s="5">
        <v>4</v>
      </c>
      <c r="C5" s="5" t="s">
        <v>95</v>
      </c>
      <c r="D5" s="5" t="s">
        <v>96</v>
      </c>
      <c r="E5" s="5" t="s">
        <v>55</v>
      </c>
      <c r="F5" s="5" t="s">
        <v>97</v>
      </c>
      <c r="G5" s="5" t="s">
        <v>98</v>
      </c>
      <c r="H5" s="4">
        <v>1760</v>
      </c>
      <c r="I5" s="5" t="s">
        <v>99</v>
      </c>
      <c r="J5" s="5" t="s">
        <v>41</v>
      </c>
      <c r="K5" s="5" t="s">
        <v>100</v>
      </c>
      <c r="L5" s="5" t="s">
        <v>101</v>
      </c>
      <c r="M5" s="5" t="s">
        <v>81</v>
      </c>
      <c r="N5" s="5" t="s">
        <v>102</v>
      </c>
      <c r="O5" s="5" t="s">
        <v>45</v>
      </c>
      <c r="P5" s="5" t="s">
        <v>45</v>
      </c>
      <c r="Q5" s="5" t="s">
        <v>103</v>
      </c>
      <c r="R5" s="5" t="s">
        <v>104</v>
      </c>
      <c r="S5" s="7">
        <v>63</v>
      </c>
      <c r="T5" s="5" t="s">
        <v>67</v>
      </c>
      <c r="U5" s="5" t="s">
        <v>105</v>
      </c>
      <c r="V5" s="5" t="s">
        <v>106</v>
      </c>
      <c r="W5" s="5"/>
      <c r="X5" s="5" t="s">
        <v>107</v>
      </c>
      <c r="Y5" s="5" t="s">
        <v>108</v>
      </c>
      <c r="Z5" s="5" t="s">
        <v>109</v>
      </c>
      <c r="AA5" s="5" t="s">
        <v>110</v>
      </c>
      <c r="AB5" s="5" t="s">
        <v>111</v>
      </c>
      <c r="AC5" s="5" t="s">
        <v>50</v>
      </c>
      <c r="AD5" s="5" t="s">
        <v>112</v>
      </c>
      <c r="AE5" s="5">
        <v>2</v>
      </c>
      <c r="AF5" s="5" t="s">
        <v>113</v>
      </c>
      <c r="AG5" s="5" t="s">
        <v>114</v>
      </c>
      <c r="AH5" s="8" t="s">
        <v>3233</v>
      </c>
      <c r="AI5" s="5">
        <v>31735064607546</v>
      </c>
    </row>
    <row r="6" spans="1:35" ht="76.5" x14ac:dyDescent="0.4">
      <c r="A6" s="4">
        <v>1</v>
      </c>
      <c r="B6" s="5">
        <v>5</v>
      </c>
      <c r="C6" s="5" t="s">
        <v>53</v>
      </c>
      <c r="D6" s="5" t="s">
        <v>54</v>
      </c>
      <c r="E6" s="5" t="s">
        <v>55</v>
      </c>
      <c r="F6" s="5" t="s">
        <v>97</v>
      </c>
      <c r="G6" s="5" t="s">
        <v>115</v>
      </c>
      <c r="H6" s="4">
        <v>1761</v>
      </c>
      <c r="I6" s="5" t="s">
        <v>116</v>
      </c>
      <c r="J6" s="5" t="s">
        <v>41</v>
      </c>
      <c r="K6" s="5" t="s">
        <v>117</v>
      </c>
      <c r="L6" s="5" t="s">
        <v>118</v>
      </c>
      <c r="M6" s="5" t="s">
        <v>119</v>
      </c>
      <c r="N6" s="5" t="s">
        <v>120</v>
      </c>
      <c r="O6" s="5" t="s">
        <v>121</v>
      </c>
      <c r="P6" s="5" t="s">
        <v>122</v>
      </c>
      <c r="Q6" s="5" t="s">
        <v>123</v>
      </c>
      <c r="R6" s="5" t="s">
        <v>124</v>
      </c>
      <c r="S6" s="7">
        <v>30</v>
      </c>
      <c r="T6" s="5" t="s">
        <v>67</v>
      </c>
      <c r="U6" s="5" t="s">
        <v>125</v>
      </c>
      <c r="V6" s="5" t="s">
        <v>126</v>
      </c>
      <c r="W6" s="5"/>
      <c r="X6" s="5" t="s">
        <v>127</v>
      </c>
      <c r="Y6" s="5" t="s">
        <v>128</v>
      </c>
      <c r="Z6" s="5" t="s">
        <v>129</v>
      </c>
      <c r="AA6" s="5" t="s">
        <v>130</v>
      </c>
      <c r="AB6" s="5" t="s">
        <v>131</v>
      </c>
      <c r="AC6" s="5" t="s">
        <v>50</v>
      </c>
      <c r="AD6" s="5" t="s">
        <v>132</v>
      </c>
      <c r="AE6" s="5">
        <v>2</v>
      </c>
      <c r="AF6" s="5" t="s">
        <v>133</v>
      </c>
      <c r="AG6" s="5" t="s">
        <v>134</v>
      </c>
      <c r="AH6" s="8" t="s">
        <v>3233</v>
      </c>
      <c r="AI6" s="5">
        <v>31735064607538</v>
      </c>
    </row>
    <row r="7" spans="1:35" ht="63.75" x14ac:dyDescent="0.4">
      <c r="A7" s="4">
        <v>1</v>
      </c>
      <c r="B7" s="5">
        <v>6</v>
      </c>
      <c r="C7" s="5" t="s">
        <v>53</v>
      </c>
      <c r="D7" s="5" t="s">
        <v>54</v>
      </c>
      <c r="E7" s="5" t="s">
        <v>55</v>
      </c>
      <c r="F7" s="5" t="s">
        <v>97</v>
      </c>
      <c r="G7" s="5" t="s">
        <v>135</v>
      </c>
      <c r="H7" s="4">
        <v>1767</v>
      </c>
      <c r="I7" s="5" t="s">
        <v>136</v>
      </c>
      <c r="J7" s="5" t="s">
        <v>41</v>
      </c>
      <c r="K7" s="5" t="s">
        <v>137</v>
      </c>
      <c r="L7" s="5" t="s">
        <v>138</v>
      </c>
      <c r="M7" s="5" t="s">
        <v>139</v>
      </c>
      <c r="N7" s="5" t="s">
        <v>140</v>
      </c>
      <c r="O7" s="5" t="s">
        <v>45</v>
      </c>
      <c r="P7" s="5" t="s">
        <v>45</v>
      </c>
      <c r="Q7" s="5" t="s">
        <v>141</v>
      </c>
      <c r="R7" s="5" t="s">
        <v>142</v>
      </c>
      <c r="S7" s="7">
        <v>2.2000000000000002</v>
      </c>
      <c r="T7" s="5" t="s">
        <v>67</v>
      </c>
      <c r="U7" s="5" t="s">
        <v>143</v>
      </c>
      <c r="V7" s="5"/>
      <c r="W7" s="5" t="s">
        <v>143</v>
      </c>
      <c r="X7" s="5" t="s">
        <v>144</v>
      </c>
      <c r="Y7" s="5" t="s">
        <v>145</v>
      </c>
      <c r="Z7" s="5"/>
      <c r="AA7" s="5" t="s">
        <v>146</v>
      </c>
      <c r="AB7" s="5" t="s">
        <v>147</v>
      </c>
      <c r="AC7" s="5" t="s">
        <v>50</v>
      </c>
      <c r="AD7" s="5" t="s">
        <v>148</v>
      </c>
      <c r="AE7" s="5">
        <v>1</v>
      </c>
      <c r="AF7" s="5" t="s">
        <v>149</v>
      </c>
      <c r="AG7" s="5">
        <v>1767</v>
      </c>
      <c r="AH7" s="8" t="s">
        <v>3233</v>
      </c>
      <c r="AI7" s="5">
        <v>31735066237367</v>
      </c>
    </row>
    <row r="8" spans="1:35" ht="38.25" x14ac:dyDescent="0.4">
      <c r="A8" s="4">
        <v>1</v>
      </c>
      <c r="B8" s="5">
        <v>7</v>
      </c>
      <c r="C8" s="5" t="s">
        <v>150</v>
      </c>
      <c r="D8" s="5" t="s">
        <v>151</v>
      </c>
      <c r="E8" s="5" t="s">
        <v>55</v>
      </c>
      <c r="F8" s="5" t="s">
        <v>97</v>
      </c>
      <c r="G8" s="5" t="s">
        <v>152</v>
      </c>
      <c r="H8" s="4">
        <v>1779</v>
      </c>
      <c r="I8" s="5" t="s">
        <v>153</v>
      </c>
      <c r="J8" s="5" t="s">
        <v>41</v>
      </c>
      <c r="K8" s="5" t="s">
        <v>154</v>
      </c>
      <c r="L8" s="5" t="s">
        <v>155</v>
      </c>
      <c r="M8" s="5" t="s">
        <v>81</v>
      </c>
      <c r="N8" s="5" t="s">
        <v>156</v>
      </c>
      <c r="O8" s="5" t="s">
        <v>45</v>
      </c>
      <c r="P8" s="5" t="s">
        <v>45</v>
      </c>
      <c r="Q8" s="5" t="s">
        <v>157</v>
      </c>
      <c r="R8" s="5" t="s">
        <v>158</v>
      </c>
      <c r="S8" s="7">
        <v>2.5</v>
      </c>
      <c r="T8" s="5" t="s">
        <v>67</v>
      </c>
      <c r="U8" s="5"/>
      <c r="V8" s="5" t="s">
        <v>159</v>
      </c>
      <c r="W8" s="5"/>
      <c r="X8" s="5" t="s">
        <v>160</v>
      </c>
      <c r="Y8" s="5" t="s">
        <v>161</v>
      </c>
      <c r="Z8" s="5"/>
      <c r="AA8" s="5" t="s">
        <v>162</v>
      </c>
      <c r="AB8" s="5" t="s">
        <v>163</v>
      </c>
      <c r="AC8" s="5" t="s">
        <v>164</v>
      </c>
      <c r="AD8" s="5" t="s">
        <v>165</v>
      </c>
      <c r="AE8" s="5">
        <v>1</v>
      </c>
      <c r="AF8" s="5" t="s">
        <v>166</v>
      </c>
      <c r="AG8" s="5">
        <v>1779</v>
      </c>
      <c r="AH8" s="8" t="s">
        <v>3233</v>
      </c>
      <c r="AI8" s="5">
        <v>31735066237375</v>
      </c>
    </row>
    <row r="9" spans="1:35" ht="76.5" x14ac:dyDescent="0.4">
      <c r="A9" s="4">
        <v>1</v>
      </c>
      <c r="B9" s="5">
        <v>8</v>
      </c>
      <c r="C9" s="5" t="s">
        <v>53</v>
      </c>
      <c r="D9" s="5" t="s">
        <v>54</v>
      </c>
      <c r="E9" s="5" t="s">
        <v>55</v>
      </c>
      <c r="F9" s="5" t="s">
        <v>97</v>
      </c>
      <c r="G9" s="5" t="s">
        <v>167</v>
      </c>
      <c r="H9" s="4">
        <v>1784</v>
      </c>
      <c r="I9" s="5" t="s">
        <v>168</v>
      </c>
      <c r="J9" s="5" t="s">
        <v>41</v>
      </c>
      <c r="K9" s="5" t="s">
        <v>169</v>
      </c>
      <c r="L9" s="5" t="s">
        <v>170</v>
      </c>
      <c r="M9" s="5" t="s">
        <v>171</v>
      </c>
      <c r="N9" s="5" t="s">
        <v>172</v>
      </c>
      <c r="O9" s="5" t="s">
        <v>45</v>
      </c>
      <c r="P9" s="5" t="s">
        <v>45</v>
      </c>
      <c r="Q9" s="5" t="s">
        <v>173</v>
      </c>
      <c r="R9" s="5" t="s">
        <v>174</v>
      </c>
      <c r="S9" s="7">
        <v>19</v>
      </c>
      <c r="T9" s="5" t="s">
        <v>67</v>
      </c>
      <c r="U9" s="5" t="s">
        <v>175</v>
      </c>
      <c r="V9" s="5" t="s">
        <v>176</v>
      </c>
      <c r="W9" s="5" t="s">
        <v>177</v>
      </c>
      <c r="X9" s="5" t="s">
        <v>178</v>
      </c>
      <c r="Y9" s="5" t="s">
        <v>179</v>
      </c>
      <c r="Z9" s="5" t="s">
        <v>180</v>
      </c>
      <c r="AA9" s="5" t="s">
        <v>181</v>
      </c>
      <c r="AB9" s="5" t="s">
        <v>182</v>
      </c>
      <c r="AC9" s="5" t="s">
        <v>50</v>
      </c>
      <c r="AD9" s="5" t="s">
        <v>183</v>
      </c>
      <c r="AE9" s="5">
        <v>2</v>
      </c>
      <c r="AF9" s="5" t="s">
        <v>184</v>
      </c>
      <c r="AG9" s="5" t="s">
        <v>185</v>
      </c>
      <c r="AH9" s="8" t="s">
        <v>3233</v>
      </c>
      <c r="AI9" s="5">
        <v>31735066237334</v>
      </c>
    </row>
    <row r="10" spans="1:35" ht="38.25" x14ac:dyDescent="0.4">
      <c r="A10" s="4">
        <v>1</v>
      </c>
      <c r="B10" s="5">
        <v>9</v>
      </c>
      <c r="C10" s="5" t="s">
        <v>150</v>
      </c>
      <c r="D10" s="5" t="s">
        <v>151</v>
      </c>
      <c r="E10" s="5" t="s">
        <v>55</v>
      </c>
      <c r="F10" s="5" t="s">
        <v>97</v>
      </c>
      <c r="G10" s="5" t="s">
        <v>186</v>
      </c>
      <c r="H10" s="4">
        <v>1782</v>
      </c>
      <c r="I10" s="5" t="s">
        <v>187</v>
      </c>
      <c r="J10" s="5" t="s">
        <v>41</v>
      </c>
      <c r="K10" s="5" t="s">
        <v>188</v>
      </c>
      <c r="L10" s="5" t="s">
        <v>189</v>
      </c>
      <c r="M10" s="5" t="s">
        <v>190</v>
      </c>
      <c r="N10" s="5" t="s">
        <v>191</v>
      </c>
      <c r="O10" s="5" t="s">
        <v>45</v>
      </c>
      <c r="P10" s="5" t="s">
        <v>45</v>
      </c>
      <c r="Q10" s="5" t="s">
        <v>192</v>
      </c>
      <c r="R10" s="5" t="s">
        <v>193</v>
      </c>
      <c r="S10" s="7">
        <v>17</v>
      </c>
      <c r="T10" s="5" t="s">
        <v>67</v>
      </c>
      <c r="U10" s="5" t="s">
        <v>194</v>
      </c>
      <c r="V10" s="5" t="s">
        <v>195</v>
      </c>
      <c r="W10" s="5" t="s">
        <v>196</v>
      </c>
      <c r="X10" s="5" t="s">
        <v>197</v>
      </c>
      <c r="Y10" s="5" t="s">
        <v>198</v>
      </c>
      <c r="Z10" s="5"/>
      <c r="AA10" s="5" t="s">
        <v>199</v>
      </c>
      <c r="AB10" s="5"/>
      <c r="AC10" s="5" t="s">
        <v>50</v>
      </c>
      <c r="AD10" s="5" t="s">
        <v>200</v>
      </c>
      <c r="AE10" s="5">
        <v>1</v>
      </c>
      <c r="AF10" s="5" t="s">
        <v>201</v>
      </c>
      <c r="AG10" s="5">
        <v>1782</v>
      </c>
      <c r="AH10" s="8" t="s">
        <v>3233</v>
      </c>
      <c r="AI10" s="5">
        <v>31735064607678</v>
      </c>
    </row>
    <row r="11" spans="1:35" ht="25.5" x14ac:dyDescent="0.4">
      <c r="A11" s="4">
        <v>1</v>
      </c>
      <c r="B11" s="5">
        <v>10</v>
      </c>
      <c r="C11" s="5" t="s">
        <v>95</v>
      </c>
      <c r="D11" s="5" t="s">
        <v>96</v>
      </c>
      <c r="E11" s="5" t="s">
        <v>55</v>
      </c>
      <c r="F11" s="5" t="s">
        <v>97</v>
      </c>
      <c r="G11" s="5" t="s">
        <v>202</v>
      </c>
      <c r="H11" s="4">
        <v>1782</v>
      </c>
      <c r="I11" s="5" t="s">
        <v>203</v>
      </c>
      <c r="J11" s="5" t="s">
        <v>41</v>
      </c>
      <c r="K11" s="5" t="s">
        <v>204</v>
      </c>
      <c r="L11" s="5" t="s">
        <v>205</v>
      </c>
      <c r="M11" s="5" t="s">
        <v>61</v>
      </c>
      <c r="N11" s="5" t="s">
        <v>206</v>
      </c>
      <c r="O11" s="5" t="s">
        <v>45</v>
      </c>
      <c r="P11" s="5" t="s">
        <v>45</v>
      </c>
      <c r="Q11" s="5" t="s">
        <v>207</v>
      </c>
      <c r="R11" s="5" t="s">
        <v>208</v>
      </c>
      <c r="S11" s="7">
        <v>10</v>
      </c>
      <c r="T11" s="5" t="s">
        <v>67</v>
      </c>
      <c r="U11" s="5" t="s">
        <v>209</v>
      </c>
      <c r="V11" s="5" t="s">
        <v>210</v>
      </c>
      <c r="W11" s="5" t="s">
        <v>211</v>
      </c>
      <c r="X11" s="5" t="s">
        <v>71</v>
      </c>
      <c r="Y11" s="5" t="s">
        <v>212</v>
      </c>
      <c r="Z11" s="5"/>
      <c r="AA11" s="5" t="s">
        <v>213</v>
      </c>
      <c r="AB11" s="5" t="s">
        <v>214</v>
      </c>
      <c r="AC11" s="5" t="s">
        <v>50</v>
      </c>
      <c r="AD11" s="5" t="s">
        <v>215</v>
      </c>
      <c r="AE11" s="5">
        <v>1</v>
      </c>
      <c r="AF11" s="5" t="s">
        <v>216</v>
      </c>
      <c r="AG11" s="5">
        <v>1782</v>
      </c>
      <c r="AH11" s="8" t="s">
        <v>3233</v>
      </c>
      <c r="AI11" s="5">
        <v>31735066267844</v>
      </c>
    </row>
    <row r="12" spans="1:35" ht="51" x14ac:dyDescent="0.4">
      <c r="A12" s="4">
        <v>1</v>
      </c>
      <c r="B12" s="5">
        <v>11</v>
      </c>
      <c r="C12" s="5" t="s">
        <v>150</v>
      </c>
      <c r="D12" s="5" t="s">
        <v>151</v>
      </c>
      <c r="E12" s="5" t="s">
        <v>217</v>
      </c>
      <c r="F12" s="5" t="s">
        <v>218</v>
      </c>
      <c r="G12" s="5" t="s">
        <v>219</v>
      </c>
      <c r="H12" s="4">
        <v>1798</v>
      </c>
      <c r="I12" s="5" t="s">
        <v>220</v>
      </c>
      <c r="J12" s="5" t="s">
        <v>41</v>
      </c>
      <c r="K12" s="5" t="s">
        <v>221</v>
      </c>
      <c r="L12" s="5" t="s">
        <v>222</v>
      </c>
      <c r="M12" s="5" t="s">
        <v>190</v>
      </c>
      <c r="N12" s="5" t="s">
        <v>223</v>
      </c>
      <c r="O12" s="5" t="s">
        <v>83</v>
      </c>
      <c r="P12" s="5" t="s">
        <v>224</v>
      </c>
      <c r="Q12" s="5" t="s">
        <v>225</v>
      </c>
      <c r="R12" s="5" t="s">
        <v>226</v>
      </c>
      <c r="S12" s="7">
        <v>8</v>
      </c>
      <c r="T12" s="5" t="s">
        <v>67</v>
      </c>
      <c r="U12" s="5" t="s">
        <v>227</v>
      </c>
      <c r="V12" s="5"/>
      <c r="W12" s="5" t="s">
        <v>227</v>
      </c>
      <c r="X12" s="5" t="s">
        <v>197</v>
      </c>
      <c r="Y12" s="5" t="s">
        <v>228</v>
      </c>
      <c r="Z12" s="5"/>
      <c r="AA12" s="5" t="s">
        <v>229</v>
      </c>
      <c r="AB12" s="5"/>
      <c r="AC12" s="5" t="s">
        <v>164</v>
      </c>
      <c r="AD12" s="5" t="s">
        <v>230</v>
      </c>
      <c r="AE12" s="5">
        <v>1</v>
      </c>
      <c r="AF12" s="5" t="s">
        <v>231</v>
      </c>
      <c r="AG12" s="5">
        <v>1798</v>
      </c>
      <c r="AH12" s="8" t="s">
        <v>3233</v>
      </c>
      <c r="AI12" s="5">
        <v>31735064607652</v>
      </c>
    </row>
    <row r="13" spans="1:35" ht="51" x14ac:dyDescent="0.4">
      <c r="A13" s="4">
        <v>1</v>
      </c>
      <c r="B13" s="5">
        <v>12</v>
      </c>
      <c r="C13" s="5" t="s">
        <v>150</v>
      </c>
      <c r="D13" s="5" t="s">
        <v>151</v>
      </c>
      <c r="E13" s="5" t="s">
        <v>217</v>
      </c>
      <c r="F13" s="5" t="s">
        <v>218</v>
      </c>
      <c r="G13" s="5" t="s">
        <v>232</v>
      </c>
      <c r="H13" s="4">
        <v>1802</v>
      </c>
      <c r="I13" s="5" t="s">
        <v>233</v>
      </c>
      <c r="J13" s="5" t="s">
        <v>41</v>
      </c>
      <c r="K13" s="5" t="s">
        <v>234</v>
      </c>
      <c r="L13" s="5" t="s">
        <v>235</v>
      </c>
      <c r="M13" s="5" t="s">
        <v>81</v>
      </c>
      <c r="N13" s="5" t="s">
        <v>236</v>
      </c>
      <c r="O13" s="5" t="s">
        <v>45</v>
      </c>
      <c r="P13" s="5" t="s">
        <v>45</v>
      </c>
      <c r="Q13" s="5" t="s">
        <v>237</v>
      </c>
      <c r="R13" s="5" t="s">
        <v>238</v>
      </c>
      <c r="S13" s="7">
        <v>22</v>
      </c>
      <c r="T13" s="5" t="s">
        <v>67</v>
      </c>
      <c r="U13" s="5" t="s">
        <v>239</v>
      </c>
      <c r="V13" s="5"/>
      <c r="W13" s="5"/>
      <c r="X13" s="5" t="s">
        <v>71</v>
      </c>
      <c r="Y13" s="5" t="s">
        <v>240</v>
      </c>
      <c r="Z13" s="5"/>
      <c r="AA13" s="5" t="s">
        <v>241</v>
      </c>
      <c r="AB13" s="5"/>
      <c r="AC13" s="5" t="s">
        <v>164</v>
      </c>
      <c r="AD13" s="5"/>
      <c r="AE13" s="5">
        <v>1</v>
      </c>
      <c r="AF13" s="5" t="s">
        <v>242</v>
      </c>
      <c r="AG13" s="5">
        <v>1802</v>
      </c>
      <c r="AH13" s="8" t="s">
        <v>3233</v>
      </c>
      <c r="AI13" s="5">
        <v>31735066266523</v>
      </c>
    </row>
    <row r="14" spans="1:35" ht="25.5" x14ac:dyDescent="0.4">
      <c r="A14" s="4">
        <v>1</v>
      </c>
      <c r="B14" s="5">
        <v>13</v>
      </c>
      <c r="C14" s="5" t="s">
        <v>243</v>
      </c>
      <c r="D14" s="5" t="s">
        <v>244</v>
      </c>
      <c r="E14" s="5" t="s">
        <v>217</v>
      </c>
      <c r="F14" s="5" t="s">
        <v>218</v>
      </c>
      <c r="G14" s="5" t="s">
        <v>245</v>
      </c>
      <c r="H14" s="4">
        <v>1805</v>
      </c>
      <c r="I14" s="5" t="s">
        <v>220</v>
      </c>
      <c r="J14" s="5" t="s">
        <v>41</v>
      </c>
      <c r="K14" s="5" t="s">
        <v>246</v>
      </c>
      <c r="L14" s="5" t="s">
        <v>247</v>
      </c>
      <c r="M14" s="5" t="s">
        <v>190</v>
      </c>
      <c r="N14" s="5" t="s">
        <v>190</v>
      </c>
      <c r="O14" s="5" t="s">
        <v>83</v>
      </c>
      <c r="P14" s="5" t="s">
        <v>248</v>
      </c>
      <c r="Q14" s="5" t="s">
        <v>249</v>
      </c>
      <c r="R14" s="5" t="s">
        <v>250</v>
      </c>
      <c r="S14" s="7">
        <v>27</v>
      </c>
      <c r="T14" s="5" t="s">
        <v>67</v>
      </c>
      <c r="U14" s="5"/>
      <c r="V14" s="5"/>
      <c r="W14" s="5"/>
      <c r="X14" s="5" t="s">
        <v>251</v>
      </c>
      <c r="Y14" s="5"/>
      <c r="Z14" s="5"/>
      <c r="AA14" s="5" t="s">
        <v>252</v>
      </c>
      <c r="AB14" s="5"/>
      <c r="AC14" s="5" t="s">
        <v>50</v>
      </c>
      <c r="AD14" s="5" t="s">
        <v>253</v>
      </c>
      <c r="AE14" s="5">
        <v>1</v>
      </c>
      <c r="AF14" s="5" t="s">
        <v>254</v>
      </c>
      <c r="AG14" s="5">
        <v>1805</v>
      </c>
      <c r="AH14" s="8" t="s">
        <v>3233</v>
      </c>
      <c r="AI14" s="5">
        <v>31735064607660</v>
      </c>
    </row>
    <row r="15" spans="1:35" ht="76.5" x14ac:dyDescent="0.4">
      <c r="A15" s="4">
        <v>1</v>
      </c>
      <c r="B15" s="5">
        <v>14</v>
      </c>
      <c r="C15" s="5" t="s">
        <v>95</v>
      </c>
      <c r="D15" s="5" t="s">
        <v>96</v>
      </c>
      <c r="E15" s="5" t="s">
        <v>217</v>
      </c>
      <c r="F15" s="5" t="s">
        <v>218</v>
      </c>
      <c r="G15" s="5" t="s">
        <v>255</v>
      </c>
      <c r="H15" s="4">
        <v>1805</v>
      </c>
      <c r="I15" s="5" t="s">
        <v>256</v>
      </c>
      <c r="J15" s="5" t="s">
        <v>41</v>
      </c>
      <c r="K15" s="5" t="s">
        <v>257</v>
      </c>
      <c r="L15" s="5" t="s">
        <v>258</v>
      </c>
      <c r="M15" s="5" t="s">
        <v>259</v>
      </c>
      <c r="N15" s="5" t="s">
        <v>260</v>
      </c>
      <c r="O15" s="5" t="s">
        <v>261</v>
      </c>
      <c r="P15" s="5" t="s">
        <v>261</v>
      </c>
      <c r="Q15" s="5" t="s">
        <v>262</v>
      </c>
      <c r="R15" s="5" t="s">
        <v>263</v>
      </c>
      <c r="S15" s="7">
        <v>14</v>
      </c>
      <c r="T15" s="5" t="s">
        <v>67</v>
      </c>
      <c r="U15" s="5" t="s">
        <v>264</v>
      </c>
      <c r="V15" s="5"/>
      <c r="W15" s="5" t="s">
        <v>265</v>
      </c>
      <c r="X15" s="5" t="s">
        <v>266</v>
      </c>
      <c r="Y15" s="5" t="s">
        <v>267</v>
      </c>
      <c r="Z15" s="5"/>
      <c r="AA15" s="5" t="s">
        <v>268</v>
      </c>
      <c r="AB15" s="5" t="s">
        <v>269</v>
      </c>
      <c r="AC15" s="5" t="s">
        <v>50</v>
      </c>
      <c r="AD15" s="5" t="s">
        <v>270</v>
      </c>
      <c r="AE15" s="5">
        <v>1</v>
      </c>
      <c r="AF15" s="5" t="s">
        <v>271</v>
      </c>
      <c r="AG15" s="5">
        <v>1805</v>
      </c>
      <c r="AH15" s="8" t="s">
        <v>3233</v>
      </c>
      <c r="AI15" s="5">
        <v>31735064607843</v>
      </c>
    </row>
    <row r="16" spans="1:35" ht="102" x14ac:dyDescent="0.4">
      <c r="A16" s="4">
        <v>1</v>
      </c>
      <c r="B16" s="5">
        <v>15</v>
      </c>
      <c r="C16" s="5" t="s">
        <v>272</v>
      </c>
      <c r="D16" s="5" t="s">
        <v>273</v>
      </c>
      <c r="E16" s="5" t="s">
        <v>217</v>
      </c>
      <c r="F16" s="5" t="s">
        <v>218</v>
      </c>
      <c r="G16" s="5" t="s">
        <v>274</v>
      </c>
      <c r="H16" s="4">
        <v>1805</v>
      </c>
      <c r="I16" s="5" t="s">
        <v>275</v>
      </c>
      <c r="J16" s="5" t="s">
        <v>41</v>
      </c>
      <c r="K16" s="5" t="s">
        <v>276</v>
      </c>
      <c r="L16" s="5" t="s">
        <v>277</v>
      </c>
      <c r="M16" s="5" t="s">
        <v>61</v>
      </c>
      <c r="N16" s="5"/>
      <c r="O16" s="5" t="s">
        <v>45</v>
      </c>
      <c r="P16" s="5" t="s">
        <v>45</v>
      </c>
      <c r="Q16" s="5" t="s">
        <v>278</v>
      </c>
      <c r="R16" s="5" t="s">
        <v>279</v>
      </c>
      <c r="S16" s="7"/>
      <c r="T16" s="5" t="s">
        <v>280</v>
      </c>
      <c r="U16" s="5"/>
      <c r="V16" s="5"/>
      <c r="W16" s="5" t="s">
        <v>281</v>
      </c>
      <c r="X16" s="5" t="s">
        <v>282</v>
      </c>
      <c r="Y16" s="5"/>
      <c r="Z16" s="5" t="s">
        <v>283</v>
      </c>
      <c r="AA16" s="5" t="s">
        <v>284</v>
      </c>
      <c r="AB16" s="5"/>
      <c r="AC16" s="5" t="s">
        <v>50</v>
      </c>
      <c r="AD16" s="5" t="s">
        <v>285</v>
      </c>
      <c r="AE16" s="5">
        <v>3</v>
      </c>
      <c r="AF16" s="5" t="s">
        <v>286</v>
      </c>
      <c r="AG16" s="5" t="s">
        <v>287</v>
      </c>
      <c r="AH16" s="8" t="s">
        <v>3233</v>
      </c>
      <c r="AI16" s="5">
        <v>31735066266705</v>
      </c>
    </row>
    <row r="17" spans="1:35" ht="51" x14ac:dyDescent="0.4">
      <c r="A17" s="4">
        <v>1</v>
      </c>
      <c r="B17" s="5">
        <v>16</v>
      </c>
      <c r="C17" s="5" t="s">
        <v>95</v>
      </c>
      <c r="D17" s="5" t="s">
        <v>96</v>
      </c>
      <c r="E17" s="5" t="s">
        <v>217</v>
      </c>
      <c r="F17" s="5" t="s">
        <v>218</v>
      </c>
      <c r="G17" s="5" t="s">
        <v>288</v>
      </c>
      <c r="H17" s="4">
        <v>1805</v>
      </c>
      <c r="I17" s="5" t="s">
        <v>289</v>
      </c>
      <c r="J17" s="5" t="s">
        <v>41</v>
      </c>
      <c r="K17" s="5" t="s">
        <v>290</v>
      </c>
      <c r="L17" s="5" t="s">
        <v>291</v>
      </c>
      <c r="M17" s="5" t="s">
        <v>292</v>
      </c>
      <c r="N17" s="5" t="s">
        <v>292</v>
      </c>
      <c r="O17" s="5" t="s">
        <v>83</v>
      </c>
      <c r="P17" s="5" t="s">
        <v>248</v>
      </c>
      <c r="Q17" s="5" t="s">
        <v>293</v>
      </c>
      <c r="R17" s="5" t="s">
        <v>294</v>
      </c>
      <c r="S17" s="7">
        <v>40</v>
      </c>
      <c r="T17" s="5" t="s">
        <v>67</v>
      </c>
      <c r="U17" s="5" t="s">
        <v>295</v>
      </c>
      <c r="V17" s="5" t="s">
        <v>296</v>
      </c>
      <c r="W17" s="5" t="s">
        <v>297</v>
      </c>
      <c r="X17" s="5" t="s">
        <v>298</v>
      </c>
      <c r="Y17" s="5" t="s">
        <v>299</v>
      </c>
      <c r="Z17" s="5" t="s">
        <v>300</v>
      </c>
      <c r="AA17" s="5" t="s">
        <v>301</v>
      </c>
      <c r="AB17" s="5"/>
      <c r="AC17" s="5" t="s">
        <v>50</v>
      </c>
      <c r="AD17" s="5" t="s">
        <v>302</v>
      </c>
      <c r="AE17" s="5">
        <v>2</v>
      </c>
      <c r="AF17" s="5" t="s">
        <v>303</v>
      </c>
      <c r="AG17" s="5" t="s">
        <v>304</v>
      </c>
      <c r="AH17" s="8" t="s">
        <v>3233</v>
      </c>
      <c r="AI17" s="5">
        <v>31735064607579</v>
      </c>
    </row>
    <row r="18" spans="1:35" ht="25.5" x14ac:dyDescent="0.4">
      <c r="A18" s="4">
        <v>1</v>
      </c>
      <c r="B18" s="5">
        <v>17</v>
      </c>
      <c r="C18" s="5" t="s">
        <v>243</v>
      </c>
      <c r="D18" s="5" t="s">
        <v>244</v>
      </c>
      <c r="E18" s="5" t="s">
        <v>217</v>
      </c>
      <c r="F18" s="5" t="s">
        <v>218</v>
      </c>
      <c r="G18" s="5" t="s">
        <v>305</v>
      </c>
      <c r="H18" s="4">
        <v>1807</v>
      </c>
      <c r="I18" s="5"/>
      <c r="J18" s="5" t="s">
        <v>61</v>
      </c>
      <c r="K18" s="5"/>
      <c r="L18" s="5" t="s">
        <v>306</v>
      </c>
      <c r="M18" s="5" t="s">
        <v>307</v>
      </c>
      <c r="N18" s="5" t="s">
        <v>307</v>
      </c>
      <c r="O18" s="5" t="s">
        <v>45</v>
      </c>
      <c r="P18" s="5" t="s">
        <v>45</v>
      </c>
      <c r="Q18" s="5" t="s">
        <v>308</v>
      </c>
      <c r="R18" s="5" t="s">
        <v>309</v>
      </c>
      <c r="S18" s="7">
        <v>15</v>
      </c>
      <c r="T18" s="5" t="s">
        <v>67</v>
      </c>
      <c r="U18" s="5"/>
      <c r="V18" s="5"/>
      <c r="W18" s="5"/>
      <c r="X18" s="5" t="s">
        <v>310</v>
      </c>
      <c r="Y18" s="5"/>
      <c r="Z18" s="5"/>
      <c r="AA18" s="5" t="s">
        <v>311</v>
      </c>
      <c r="AB18" s="5" t="s">
        <v>312</v>
      </c>
      <c r="AC18" s="5" t="s">
        <v>313</v>
      </c>
      <c r="AD18" s="5" t="s">
        <v>314</v>
      </c>
      <c r="AE18" s="5">
        <v>1</v>
      </c>
      <c r="AF18" s="5" t="s">
        <v>315</v>
      </c>
      <c r="AG18" s="5"/>
      <c r="AH18" s="8" t="s">
        <v>3233</v>
      </c>
      <c r="AI18" s="5">
        <v>31735066237409</v>
      </c>
    </row>
    <row r="19" spans="1:35" ht="38.25" x14ac:dyDescent="0.4">
      <c r="A19" s="4">
        <v>1</v>
      </c>
      <c r="B19" s="5">
        <v>18</v>
      </c>
      <c r="C19" s="5" t="s">
        <v>243</v>
      </c>
      <c r="D19" s="5" t="s">
        <v>244</v>
      </c>
      <c r="E19" s="5" t="s">
        <v>217</v>
      </c>
      <c r="F19" s="5" t="s">
        <v>218</v>
      </c>
      <c r="G19" s="5" t="s">
        <v>316</v>
      </c>
      <c r="H19" s="4">
        <v>1813</v>
      </c>
      <c r="I19" s="5" t="s">
        <v>317</v>
      </c>
      <c r="J19" s="5" t="s">
        <v>41</v>
      </c>
      <c r="K19" s="5" t="s">
        <v>246</v>
      </c>
      <c r="L19" s="5" t="s">
        <v>318</v>
      </c>
      <c r="M19" s="5" t="s">
        <v>190</v>
      </c>
      <c r="N19" s="5" t="s">
        <v>190</v>
      </c>
      <c r="O19" s="5" t="s">
        <v>45</v>
      </c>
      <c r="P19" s="5" t="s">
        <v>45</v>
      </c>
      <c r="Q19" s="5" t="s">
        <v>319</v>
      </c>
      <c r="R19" s="5" t="s">
        <v>320</v>
      </c>
      <c r="S19" s="7">
        <v>25</v>
      </c>
      <c r="T19" s="5" t="s">
        <v>67</v>
      </c>
      <c r="U19" s="5"/>
      <c r="V19" s="5"/>
      <c r="W19" s="5"/>
      <c r="X19" s="5" t="s">
        <v>321</v>
      </c>
      <c r="Y19" s="5"/>
      <c r="Z19" s="5"/>
      <c r="AA19" s="5" t="s">
        <v>322</v>
      </c>
      <c r="AB19" s="5" t="s">
        <v>323</v>
      </c>
      <c r="AC19" s="5" t="s">
        <v>50</v>
      </c>
      <c r="AD19" s="5" t="s">
        <v>324</v>
      </c>
      <c r="AE19" s="5">
        <v>1</v>
      </c>
      <c r="AF19" s="5" t="s">
        <v>325</v>
      </c>
      <c r="AG19" s="5">
        <v>1813</v>
      </c>
      <c r="AH19" s="8" t="s">
        <v>3233</v>
      </c>
      <c r="AI19" s="5">
        <v>31735066267471</v>
      </c>
    </row>
    <row r="20" spans="1:35" ht="38.25" x14ac:dyDescent="0.4">
      <c r="A20" s="4">
        <v>1</v>
      </c>
      <c r="B20" s="5">
        <v>19</v>
      </c>
      <c r="C20" s="5" t="s">
        <v>243</v>
      </c>
      <c r="D20" s="5" t="s">
        <v>244</v>
      </c>
      <c r="E20" s="5" t="s">
        <v>217</v>
      </c>
      <c r="F20" s="5" t="s">
        <v>218</v>
      </c>
      <c r="G20" s="5" t="s">
        <v>326</v>
      </c>
      <c r="H20" s="4">
        <v>1817</v>
      </c>
      <c r="I20" s="5" t="s">
        <v>256</v>
      </c>
      <c r="J20" s="5" t="s">
        <v>41</v>
      </c>
      <c r="K20" s="5" t="s">
        <v>246</v>
      </c>
      <c r="L20" s="5" t="s">
        <v>327</v>
      </c>
      <c r="M20" s="5" t="s">
        <v>259</v>
      </c>
      <c r="N20" s="5" t="s">
        <v>259</v>
      </c>
      <c r="O20" s="5" t="s">
        <v>45</v>
      </c>
      <c r="P20" s="5" t="s">
        <v>45</v>
      </c>
      <c r="Q20" s="5" t="s">
        <v>328</v>
      </c>
      <c r="R20" s="5" t="s">
        <v>329</v>
      </c>
      <c r="S20" s="7"/>
      <c r="T20" s="5" t="s">
        <v>67</v>
      </c>
      <c r="U20" s="5"/>
      <c r="V20" s="5"/>
      <c r="W20" s="5"/>
      <c r="X20" s="5" t="s">
        <v>330</v>
      </c>
      <c r="Y20" s="5"/>
      <c r="Z20" s="5"/>
      <c r="AA20" s="5" t="s">
        <v>331</v>
      </c>
      <c r="AB20" s="5"/>
      <c r="AC20" s="5" t="s">
        <v>50</v>
      </c>
      <c r="AD20" s="5" t="s">
        <v>332</v>
      </c>
      <c r="AE20" s="5">
        <v>1</v>
      </c>
      <c r="AF20" s="5" t="s">
        <v>333</v>
      </c>
      <c r="AG20" s="5">
        <v>1817</v>
      </c>
      <c r="AH20" s="8" t="s">
        <v>3233</v>
      </c>
      <c r="AI20" s="5">
        <v>31735064607850</v>
      </c>
    </row>
    <row r="21" spans="1:35" ht="127.5" x14ac:dyDescent="0.4">
      <c r="A21" s="4">
        <v>1</v>
      </c>
      <c r="B21" s="5">
        <v>20</v>
      </c>
      <c r="C21" s="5" t="s">
        <v>95</v>
      </c>
      <c r="D21" s="5" t="s">
        <v>96</v>
      </c>
      <c r="E21" s="5" t="s">
        <v>217</v>
      </c>
      <c r="F21" s="5" t="s">
        <v>334</v>
      </c>
      <c r="G21" s="5" t="s">
        <v>335</v>
      </c>
      <c r="H21" s="4">
        <v>1822</v>
      </c>
      <c r="I21" s="5" t="s">
        <v>336</v>
      </c>
      <c r="J21" s="5" t="s">
        <v>41</v>
      </c>
      <c r="K21" s="5" t="s">
        <v>337</v>
      </c>
      <c r="L21" s="5" t="s">
        <v>338</v>
      </c>
      <c r="M21" s="5" t="s">
        <v>292</v>
      </c>
      <c r="N21" s="5" t="s">
        <v>339</v>
      </c>
      <c r="O21" s="5" t="s">
        <v>340</v>
      </c>
      <c r="P21" s="5" t="s">
        <v>341</v>
      </c>
      <c r="Q21" s="5" t="s">
        <v>342</v>
      </c>
      <c r="R21" s="5" t="s">
        <v>343</v>
      </c>
      <c r="S21" s="7">
        <v>310</v>
      </c>
      <c r="T21" s="5" t="s">
        <v>67</v>
      </c>
      <c r="U21" s="5" t="s">
        <v>344</v>
      </c>
      <c r="V21" s="5" t="s">
        <v>345</v>
      </c>
      <c r="W21" s="5" t="s">
        <v>346</v>
      </c>
      <c r="X21" s="5" t="s">
        <v>347</v>
      </c>
      <c r="Y21" s="5" t="s">
        <v>348</v>
      </c>
      <c r="Z21" s="5"/>
      <c r="AA21" s="5" t="s">
        <v>349</v>
      </c>
      <c r="AB21" s="5" t="s">
        <v>350</v>
      </c>
      <c r="AC21" s="5" t="s">
        <v>50</v>
      </c>
      <c r="AD21" s="5" t="s">
        <v>351</v>
      </c>
      <c r="AE21" s="5">
        <v>1</v>
      </c>
      <c r="AF21" s="5" t="s">
        <v>352</v>
      </c>
      <c r="AG21" s="5"/>
      <c r="AH21" s="8" t="s">
        <v>3233</v>
      </c>
      <c r="AI21" s="5">
        <v>31735066267687</v>
      </c>
    </row>
    <row r="22" spans="1:35" ht="51" x14ac:dyDescent="0.4">
      <c r="A22" s="4">
        <v>1</v>
      </c>
      <c r="B22" s="5">
        <v>21</v>
      </c>
      <c r="C22" s="5" t="s">
        <v>272</v>
      </c>
      <c r="D22" s="5" t="s">
        <v>273</v>
      </c>
      <c r="E22" s="5" t="s">
        <v>217</v>
      </c>
      <c r="F22" s="5" t="s">
        <v>334</v>
      </c>
      <c r="G22" s="5" t="s">
        <v>353</v>
      </c>
      <c r="H22" s="4">
        <v>1829</v>
      </c>
      <c r="I22" s="5" t="s">
        <v>354</v>
      </c>
      <c r="J22" s="5" t="s">
        <v>41</v>
      </c>
      <c r="K22" s="5" t="s">
        <v>355</v>
      </c>
      <c r="L22" s="5" t="s">
        <v>356</v>
      </c>
      <c r="M22" s="5" t="s">
        <v>61</v>
      </c>
      <c r="N22" s="5"/>
      <c r="O22" s="5" t="s">
        <v>45</v>
      </c>
      <c r="P22" s="5" t="s">
        <v>45</v>
      </c>
      <c r="Q22" s="5" t="s">
        <v>357</v>
      </c>
      <c r="R22" s="5" t="s">
        <v>358</v>
      </c>
      <c r="S22" s="7"/>
      <c r="T22" s="5" t="s">
        <v>280</v>
      </c>
      <c r="U22" s="5"/>
      <c r="V22" s="5" t="s">
        <v>359</v>
      </c>
      <c r="W22" s="5" t="s">
        <v>360</v>
      </c>
      <c r="X22" s="5" t="s">
        <v>361</v>
      </c>
      <c r="Y22" s="5" t="s">
        <v>362</v>
      </c>
      <c r="Z22" s="5" t="s">
        <v>363</v>
      </c>
      <c r="AA22" s="5" t="s">
        <v>364</v>
      </c>
      <c r="AB22" s="5" t="s">
        <v>365</v>
      </c>
      <c r="AC22" s="5" t="s">
        <v>164</v>
      </c>
      <c r="AD22" s="5"/>
      <c r="AE22" s="5">
        <v>1</v>
      </c>
      <c r="AF22" s="5" t="s">
        <v>366</v>
      </c>
      <c r="AG22" s="5">
        <v>1829</v>
      </c>
      <c r="AH22" s="8" t="s">
        <v>3233</v>
      </c>
      <c r="AI22" s="5">
        <v>31735066266580</v>
      </c>
    </row>
    <row r="23" spans="1:35" ht="63.75" x14ac:dyDescent="0.4">
      <c r="A23" s="4">
        <v>1</v>
      </c>
      <c r="B23" s="5">
        <v>22</v>
      </c>
      <c r="C23" s="5" t="s">
        <v>272</v>
      </c>
      <c r="D23" s="5" t="s">
        <v>273</v>
      </c>
      <c r="E23" s="5" t="s">
        <v>217</v>
      </c>
      <c r="F23" s="5" t="s">
        <v>334</v>
      </c>
      <c r="G23" s="5" t="s">
        <v>353</v>
      </c>
      <c r="H23" s="4">
        <v>1829</v>
      </c>
      <c r="I23" s="5" t="s">
        <v>354</v>
      </c>
      <c r="J23" s="5" t="s">
        <v>41</v>
      </c>
      <c r="K23" s="5" t="s">
        <v>355</v>
      </c>
      <c r="L23" s="5" t="s">
        <v>356</v>
      </c>
      <c r="M23" s="5" t="s">
        <v>61</v>
      </c>
      <c r="N23" s="5"/>
      <c r="O23" s="5" t="s">
        <v>45</v>
      </c>
      <c r="P23" s="5" t="s">
        <v>45</v>
      </c>
      <c r="Q23" s="5" t="s">
        <v>367</v>
      </c>
      <c r="R23" s="5" t="s">
        <v>368</v>
      </c>
      <c r="S23" s="7"/>
      <c r="T23" s="5" t="s">
        <v>280</v>
      </c>
      <c r="U23" s="5"/>
      <c r="V23" s="5" t="s">
        <v>359</v>
      </c>
      <c r="W23" s="5" t="s">
        <v>360</v>
      </c>
      <c r="X23" s="5" t="s">
        <v>361</v>
      </c>
      <c r="Y23" s="5" t="s">
        <v>362</v>
      </c>
      <c r="Z23" s="5" t="s">
        <v>369</v>
      </c>
      <c r="AA23" s="5" t="s">
        <v>370</v>
      </c>
      <c r="AB23" s="5" t="s">
        <v>365</v>
      </c>
      <c r="AC23" s="5" t="s">
        <v>164</v>
      </c>
      <c r="AD23" s="5" t="s">
        <v>371</v>
      </c>
      <c r="AE23" s="5">
        <v>1</v>
      </c>
      <c r="AF23" s="5" t="s">
        <v>366</v>
      </c>
      <c r="AG23" s="5">
        <v>1829</v>
      </c>
      <c r="AH23" s="8" t="s">
        <v>3233</v>
      </c>
      <c r="AI23" s="5">
        <v>31735066266572</v>
      </c>
    </row>
    <row r="24" spans="1:35" ht="38.25" x14ac:dyDescent="0.4">
      <c r="A24" s="4">
        <v>1</v>
      </c>
      <c r="B24" s="5">
        <v>23</v>
      </c>
      <c r="C24" s="5" t="s">
        <v>272</v>
      </c>
      <c r="D24" s="5" t="s">
        <v>273</v>
      </c>
      <c r="E24" s="5" t="s">
        <v>217</v>
      </c>
      <c r="F24" s="5" t="s">
        <v>334</v>
      </c>
      <c r="G24" s="5" t="s">
        <v>372</v>
      </c>
      <c r="H24" s="4">
        <v>1829</v>
      </c>
      <c r="I24" s="5" t="s">
        <v>275</v>
      </c>
      <c r="J24" s="5" t="s">
        <v>41</v>
      </c>
      <c r="K24" s="5" t="s">
        <v>373</v>
      </c>
      <c r="L24" s="5" t="s">
        <v>354</v>
      </c>
      <c r="M24" s="5" t="s">
        <v>61</v>
      </c>
      <c r="N24" s="5"/>
      <c r="O24" s="5" t="s">
        <v>45</v>
      </c>
      <c r="P24" s="5" t="s">
        <v>45</v>
      </c>
      <c r="Q24" s="5" t="s">
        <v>374</v>
      </c>
      <c r="R24" s="5" t="s">
        <v>375</v>
      </c>
      <c r="S24" s="7"/>
      <c r="T24" s="5" t="s">
        <v>280</v>
      </c>
      <c r="U24" s="5"/>
      <c r="V24" s="5"/>
      <c r="W24" s="5" t="s">
        <v>376</v>
      </c>
      <c r="X24" s="5" t="s">
        <v>377</v>
      </c>
      <c r="Y24" s="5"/>
      <c r="Z24" s="5"/>
      <c r="AA24" s="5" t="s">
        <v>378</v>
      </c>
      <c r="AB24" s="5"/>
      <c r="AC24" s="5" t="s">
        <v>164</v>
      </c>
      <c r="AD24" s="5"/>
      <c r="AE24" s="5">
        <v>1</v>
      </c>
      <c r="AF24" s="5" t="s">
        <v>379</v>
      </c>
      <c r="AG24" s="5">
        <v>1829</v>
      </c>
      <c r="AH24" s="8" t="s">
        <v>3233</v>
      </c>
      <c r="AI24" s="5">
        <v>31735066237722</v>
      </c>
    </row>
    <row r="25" spans="1:35" ht="76.5" x14ac:dyDescent="0.4">
      <c r="A25" s="4">
        <v>1</v>
      </c>
      <c r="B25" s="5">
        <v>24</v>
      </c>
      <c r="C25" s="5" t="s">
        <v>380</v>
      </c>
      <c r="D25" s="5" t="s">
        <v>381</v>
      </c>
      <c r="E25" s="5" t="s">
        <v>217</v>
      </c>
      <c r="F25" s="5" t="s">
        <v>334</v>
      </c>
      <c r="G25" s="5" t="s">
        <v>382</v>
      </c>
      <c r="H25" s="4">
        <v>1837</v>
      </c>
      <c r="I25" s="5" t="s">
        <v>383</v>
      </c>
      <c r="J25" s="5" t="s">
        <v>41</v>
      </c>
      <c r="K25" s="5" t="s">
        <v>384</v>
      </c>
      <c r="L25" s="5" t="s">
        <v>385</v>
      </c>
      <c r="M25" s="5" t="s">
        <v>61</v>
      </c>
      <c r="N25" s="5" t="s">
        <v>386</v>
      </c>
      <c r="O25" s="5" t="s">
        <v>83</v>
      </c>
      <c r="P25" s="5" t="s">
        <v>387</v>
      </c>
      <c r="Q25" s="5" t="s">
        <v>388</v>
      </c>
      <c r="R25" s="5"/>
      <c r="S25" s="7"/>
      <c r="T25" s="5"/>
      <c r="U25" s="5"/>
      <c r="V25" s="5" t="s">
        <v>389</v>
      </c>
      <c r="W25" s="5" t="s">
        <v>390</v>
      </c>
      <c r="X25" s="5" t="s">
        <v>391</v>
      </c>
      <c r="Y25" s="5"/>
      <c r="Z25" s="5" t="s">
        <v>392</v>
      </c>
      <c r="AA25" s="5" t="s">
        <v>393</v>
      </c>
      <c r="AB25" s="5" t="s">
        <v>394</v>
      </c>
      <c r="AC25" s="5" t="s">
        <v>50</v>
      </c>
      <c r="AD25" s="5" t="s">
        <v>395</v>
      </c>
      <c r="AE25" s="5">
        <v>11</v>
      </c>
      <c r="AF25" s="5" t="s">
        <v>396</v>
      </c>
      <c r="AG25" s="5">
        <v>1837</v>
      </c>
      <c r="AH25" s="8" t="s">
        <v>3233</v>
      </c>
      <c r="AI25" s="5">
        <v>31735066267976</v>
      </c>
    </row>
    <row r="26" spans="1:35" ht="51" x14ac:dyDescent="0.4">
      <c r="A26" s="4">
        <v>1</v>
      </c>
      <c r="B26" s="5">
        <v>25</v>
      </c>
      <c r="C26" s="5" t="s">
        <v>95</v>
      </c>
      <c r="D26" s="5" t="s">
        <v>96</v>
      </c>
      <c r="E26" s="5" t="s">
        <v>217</v>
      </c>
      <c r="F26" s="5" t="s">
        <v>334</v>
      </c>
      <c r="G26" s="5" t="s">
        <v>397</v>
      </c>
      <c r="H26" s="4">
        <v>1839</v>
      </c>
      <c r="I26" s="5" t="s">
        <v>398</v>
      </c>
      <c r="J26" s="5" t="s">
        <v>41</v>
      </c>
      <c r="K26" s="5" t="s">
        <v>399</v>
      </c>
      <c r="L26" s="5" t="s">
        <v>400</v>
      </c>
      <c r="M26" s="5" t="s">
        <v>171</v>
      </c>
      <c r="N26" s="5" t="s">
        <v>401</v>
      </c>
      <c r="O26" s="5" t="s">
        <v>45</v>
      </c>
      <c r="P26" s="5" t="s">
        <v>45</v>
      </c>
      <c r="Q26" s="5" t="s">
        <v>402</v>
      </c>
      <c r="R26" s="5" t="s">
        <v>403</v>
      </c>
      <c r="S26" s="7">
        <v>65</v>
      </c>
      <c r="T26" s="5" t="s">
        <v>67</v>
      </c>
      <c r="U26" s="5" t="s">
        <v>404</v>
      </c>
      <c r="V26" s="5" t="s">
        <v>405</v>
      </c>
      <c r="W26" s="5"/>
      <c r="X26" s="5" t="s">
        <v>406</v>
      </c>
      <c r="Y26" s="5" t="s">
        <v>407</v>
      </c>
      <c r="Z26" s="5"/>
      <c r="AA26" s="5" t="s">
        <v>408</v>
      </c>
      <c r="AB26" s="5" t="s">
        <v>409</v>
      </c>
      <c r="AC26" s="5" t="s">
        <v>50</v>
      </c>
      <c r="AD26" s="5" t="s">
        <v>410</v>
      </c>
      <c r="AE26" s="5">
        <v>1</v>
      </c>
      <c r="AF26" s="5" t="s">
        <v>411</v>
      </c>
      <c r="AG26" s="5">
        <v>1839</v>
      </c>
      <c r="AH26" s="8" t="s">
        <v>3233</v>
      </c>
      <c r="AI26" s="5">
        <v>31735066266515</v>
      </c>
    </row>
    <row r="27" spans="1:35" ht="63.75" x14ac:dyDescent="0.4">
      <c r="A27" s="4">
        <v>1</v>
      </c>
      <c r="B27" s="5">
        <v>26</v>
      </c>
      <c r="C27" s="5" t="s">
        <v>380</v>
      </c>
      <c r="D27" s="5" t="s">
        <v>381</v>
      </c>
      <c r="E27" s="5" t="s">
        <v>217</v>
      </c>
      <c r="F27" s="5" t="s">
        <v>334</v>
      </c>
      <c r="G27" s="5" t="s">
        <v>412</v>
      </c>
      <c r="H27" s="4">
        <v>1840</v>
      </c>
      <c r="I27" s="5" t="s">
        <v>413</v>
      </c>
      <c r="J27" s="5" t="s">
        <v>414</v>
      </c>
      <c r="K27" s="5" t="s">
        <v>415</v>
      </c>
      <c r="L27" s="5" t="s">
        <v>416</v>
      </c>
      <c r="M27" s="5" t="s">
        <v>61</v>
      </c>
      <c r="N27" s="5" t="s">
        <v>417</v>
      </c>
      <c r="O27" s="5" t="s">
        <v>45</v>
      </c>
      <c r="P27" s="5" t="s">
        <v>418</v>
      </c>
      <c r="Q27" s="5" t="s">
        <v>419</v>
      </c>
      <c r="R27" s="5"/>
      <c r="S27" s="7"/>
      <c r="T27" s="5"/>
      <c r="U27" s="5"/>
      <c r="V27" s="5" t="s">
        <v>420</v>
      </c>
      <c r="W27" s="5" t="s">
        <v>421</v>
      </c>
      <c r="X27" s="5" t="s">
        <v>361</v>
      </c>
      <c r="Y27" s="5"/>
      <c r="Z27" s="5"/>
      <c r="AA27" s="5" t="s">
        <v>422</v>
      </c>
      <c r="AB27" s="5" t="s">
        <v>423</v>
      </c>
      <c r="AC27" s="5" t="s">
        <v>313</v>
      </c>
      <c r="AD27" s="5" t="s">
        <v>424</v>
      </c>
      <c r="AE27" s="5">
        <v>1</v>
      </c>
      <c r="AF27" s="5" t="s">
        <v>425</v>
      </c>
      <c r="AG27" s="5">
        <v>1840</v>
      </c>
      <c r="AH27" s="8" t="s">
        <v>3233</v>
      </c>
      <c r="AI27" s="5">
        <v>31735066266259</v>
      </c>
    </row>
    <row r="28" spans="1:35" ht="63.75" x14ac:dyDescent="0.4">
      <c r="A28" s="4">
        <v>1</v>
      </c>
      <c r="B28" s="5">
        <v>27</v>
      </c>
      <c r="C28" s="5" t="s">
        <v>35</v>
      </c>
      <c r="D28" s="5" t="s">
        <v>426</v>
      </c>
      <c r="E28" s="5" t="s">
        <v>217</v>
      </c>
      <c r="F28" s="5" t="s">
        <v>334</v>
      </c>
      <c r="G28" s="5" t="s">
        <v>427</v>
      </c>
      <c r="H28" s="4">
        <v>1840</v>
      </c>
      <c r="I28" s="5" t="s">
        <v>428</v>
      </c>
      <c r="J28" s="5" t="s">
        <v>429</v>
      </c>
      <c r="K28" s="5" t="s">
        <v>430</v>
      </c>
      <c r="L28" s="5" t="s">
        <v>431</v>
      </c>
      <c r="M28" s="5" t="s">
        <v>81</v>
      </c>
      <c r="N28" s="5" t="s">
        <v>432</v>
      </c>
      <c r="O28" s="5" t="s">
        <v>433</v>
      </c>
      <c r="P28" s="5" t="s">
        <v>434</v>
      </c>
      <c r="Q28" s="5" t="s">
        <v>435</v>
      </c>
      <c r="R28" s="5"/>
      <c r="S28" s="7"/>
      <c r="T28" s="5"/>
      <c r="U28" s="5"/>
      <c r="V28" s="5"/>
      <c r="W28" s="5"/>
      <c r="X28" s="5" t="s">
        <v>436</v>
      </c>
      <c r="Y28" s="5"/>
      <c r="Z28" s="5"/>
      <c r="AA28" s="5" t="s">
        <v>437</v>
      </c>
      <c r="AB28" s="5" t="s">
        <v>438</v>
      </c>
      <c r="AC28" s="5" t="s">
        <v>50</v>
      </c>
      <c r="AD28" s="5" t="s">
        <v>439</v>
      </c>
      <c r="AE28" s="5">
        <v>1</v>
      </c>
      <c r="AF28" s="5" t="s">
        <v>440</v>
      </c>
      <c r="AG28" s="5">
        <v>1840</v>
      </c>
      <c r="AH28" s="8" t="s">
        <v>3233</v>
      </c>
      <c r="AI28" s="5">
        <v>31735066266408</v>
      </c>
    </row>
    <row r="29" spans="1:35" ht="102" x14ac:dyDescent="0.4">
      <c r="A29" s="4">
        <v>1</v>
      </c>
      <c r="B29" s="5">
        <v>28</v>
      </c>
      <c r="C29" s="5" t="s">
        <v>53</v>
      </c>
      <c r="D29" s="5" t="s">
        <v>54</v>
      </c>
      <c r="E29" s="5" t="s">
        <v>217</v>
      </c>
      <c r="F29" s="5" t="s">
        <v>334</v>
      </c>
      <c r="G29" s="5" t="s">
        <v>441</v>
      </c>
      <c r="H29" s="4">
        <v>1840</v>
      </c>
      <c r="I29" s="5" t="s">
        <v>442</v>
      </c>
      <c r="J29" s="5" t="s">
        <v>41</v>
      </c>
      <c r="K29" s="5" t="s">
        <v>443</v>
      </c>
      <c r="L29" s="5" t="s">
        <v>444</v>
      </c>
      <c r="M29" s="5" t="s">
        <v>81</v>
      </c>
      <c r="N29" s="5" t="s">
        <v>445</v>
      </c>
      <c r="O29" s="5" t="s">
        <v>121</v>
      </c>
      <c r="P29" s="5" t="s">
        <v>446</v>
      </c>
      <c r="Q29" s="5" t="s">
        <v>447</v>
      </c>
      <c r="R29" s="5" t="s">
        <v>448</v>
      </c>
      <c r="S29" s="7">
        <v>11500</v>
      </c>
      <c r="T29" s="5" t="s">
        <v>449</v>
      </c>
      <c r="U29" s="5" t="s">
        <v>450</v>
      </c>
      <c r="V29" s="5" t="s">
        <v>451</v>
      </c>
      <c r="W29" s="5" t="s">
        <v>450</v>
      </c>
      <c r="X29" s="5" t="s">
        <v>452</v>
      </c>
      <c r="Y29" s="5" t="s">
        <v>453</v>
      </c>
      <c r="Z29" s="5" t="s">
        <v>454</v>
      </c>
      <c r="AA29" s="5" t="s">
        <v>455</v>
      </c>
      <c r="AB29" s="5" t="s">
        <v>456</v>
      </c>
      <c r="AC29" s="5" t="s">
        <v>50</v>
      </c>
      <c r="AD29" s="5" t="s">
        <v>457</v>
      </c>
      <c r="AE29" s="5">
        <v>2</v>
      </c>
      <c r="AF29" s="5" t="s">
        <v>458</v>
      </c>
      <c r="AG29" s="5" t="s">
        <v>459</v>
      </c>
      <c r="AH29" s="8" t="s">
        <v>3233</v>
      </c>
      <c r="AI29" s="5">
        <v>31735066266556</v>
      </c>
    </row>
    <row r="30" spans="1:35" ht="51" x14ac:dyDescent="0.4">
      <c r="A30" s="4">
        <v>1</v>
      </c>
      <c r="B30" s="5">
        <v>29</v>
      </c>
      <c r="C30" s="5" t="s">
        <v>95</v>
      </c>
      <c r="D30" s="5" t="s">
        <v>460</v>
      </c>
      <c r="E30" s="5" t="s">
        <v>217</v>
      </c>
      <c r="F30" s="5" t="s">
        <v>334</v>
      </c>
      <c r="G30" s="5" t="s">
        <v>461</v>
      </c>
      <c r="H30" s="4">
        <v>1841</v>
      </c>
      <c r="I30" s="5" t="s">
        <v>462</v>
      </c>
      <c r="J30" s="5" t="s">
        <v>41</v>
      </c>
      <c r="K30" s="5" t="s">
        <v>463</v>
      </c>
      <c r="L30" s="5" t="s">
        <v>464</v>
      </c>
      <c r="M30" s="5" t="s">
        <v>61</v>
      </c>
      <c r="N30" s="5"/>
      <c r="O30" s="5" t="s">
        <v>433</v>
      </c>
      <c r="P30" s="5" t="s">
        <v>465</v>
      </c>
      <c r="Q30" s="5" t="s">
        <v>466</v>
      </c>
      <c r="R30" s="5" t="s">
        <v>467</v>
      </c>
      <c r="S30" s="7">
        <v>6</v>
      </c>
      <c r="T30" s="5" t="s">
        <v>468</v>
      </c>
      <c r="U30" s="5"/>
      <c r="V30" s="5" t="s">
        <v>469</v>
      </c>
      <c r="W30" s="5" t="s">
        <v>470</v>
      </c>
      <c r="X30" s="5" t="s">
        <v>471</v>
      </c>
      <c r="Y30" s="5" t="s">
        <v>472</v>
      </c>
      <c r="Z30" s="5"/>
      <c r="AA30" s="5" t="s">
        <v>473</v>
      </c>
      <c r="AB30" s="5" t="s">
        <v>474</v>
      </c>
      <c r="AC30" s="5" t="s">
        <v>164</v>
      </c>
      <c r="AD30" s="5" t="s">
        <v>475</v>
      </c>
      <c r="AE30" s="5">
        <v>1</v>
      </c>
      <c r="AF30" s="5" t="s">
        <v>476</v>
      </c>
      <c r="AG30" s="5">
        <v>1841</v>
      </c>
      <c r="AH30" s="8" t="s">
        <v>3233</v>
      </c>
      <c r="AI30" s="5">
        <v>31735066266457</v>
      </c>
    </row>
    <row r="31" spans="1:35" ht="38.25" x14ac:dyDescent="0.4">
      <c r="A31" s="4">
        <v>1</v>
      </c>
      <c r="B31" s="5">
        <v>30</v>
      </c>
      <c r="C31" s="5" t="s">
        <v>477</v>
      </c>
      <c r="D31" s="5" t="s">
        <v>478</v>
      </c>
      <c r="E31" s="5" t="s">
        <v>217</v>
      </c>
      <c r="F31" s="5" t="s">
        <v>334</v>
      </c>
      <c r="G31" s="5" t="s">
        <v>479</v>
      </c>
      <c r="H31" s="4">
        <v>1842</v>
      </c>
      <c r="I31" s="5" t="s">
        <v>480</v>
      </c>
      <c r="J31" s="5" t="s">
        <v>41</v>
      </c>
      <c r="K31" s="5" t="s">
        <v>481</v>
      </c>
      <c r="L31" s="5"/>
      <c r="M31" s="5" t="s">
        <v>61</v>
      </c>
      <c r="N31" s="5"/>
      <c r="O31" s="5" t="s">
        <v>45</v>
      </c>
      <c r="P31" s="5" t="s">
        <v>482</v>
      </c>
      <c r="Q31" s="5" t="s">
        <v>483</v>
      </c>
      <c r="R31" s="5" t="s">
        <v>484</v>
      </c>
      <c r="S31" s="7">
        <v>350</v>
      </c>
      <c r="T31" s="5" t="s">
        <v>449</v>
      </c>
      <c r="U31" s="5"/>
      <c r="V31" s="5" t="s">
        <v>485</v>
      </c>
      <c r="W31" s="5" t="s">
        <v>486</v>
      </c>
      <c r="X31" s="5" t="s">
        <v>361</v>
      </c>
      <c r="Y31" s="5"/>
      <c r="Z31" s="5"/>
      <c r="AA31" s="5" t="s">
        <v>487</v>
      </c>
      <c r="AB31" s="5" t="s">
        <v>488</v>
      </c>
      <c r="AC31" s="5" t="s">
        <v>50</v>
      </c>
      <c r="AD31" s="6" t="s">
        <v>489</v>
      </c>
      <c r="AE31" s="5">
        <v>1</v>
      </c>
      <c r="AF31" s="5" t="s">
        <v>490</v>
      </c>
      <c r="AG31" s="5">
        <v>1842</v>
      </c>
      <c r="AH31" s="8" t="s">
        <v>3233</v>
      </c>
      <c r="AI31" s="5">
        <v>31735066266366</v>
      </c>
    </row>
    <row r="32" spans="1:35" ht="102" x14ac:dyDescent="0.4">
      <c r="A32" s="4">
        <v>1</v>
      </c>
      <c r="B32" s="5">
        <v>31</v>
      </c>
      <c r="C32" s="5" t="s">
        <v>491</v>
      </c>
      <c r="D32" s="5" t="s">
        <v>492</v>
      </c>
      <c r="E32" s="5" t="s">
        <v>217</v>
      </c>
      <c r="F32" s="5" t="s">
        <v>334</v>
      </c>
      <c r="G32" s="5" t="s">
        <v>493</v>
      </c>
      <c r="H32" s="4">
        <v>1844</v>
      </c>
      <c r="I32" s="5" t="s">
        <v>494</v>
      </c>
      <c r="J32" s="5" t="s">
        <v>41</v>
      </c>
      <c r="K32" s="5" t="s">
        <v>495</v>
      </c>
      <c r="L32" s="5" t="s">
        <v>496</v>
      </c>
      <c r="M32" s="5" t="s">
        <v>259</v>
      </c>
      <c r="N32" s="5" t="s">
        <v>497</v>
      </c>
      <c r="O32" s="5" t="s">
        <v>340</v>
      </c>
      <c r="P32" s="5" t="s">
        <v>340</v>
      </c>
      <c r="Q32" s="5" t="s">
        <v>498</v>
      </c>
      <c r="R32" s="5" t="s">
        <v>499</v>
      </c>
      <c r="S32" s="7">
        <v>100</v>
      </c>
      <c r="T32" s="5" t="s">
        <v>67</v>
      </c>
      <c r="U32" s="5" t="s">
        <v>500</v>
      </c>
      <c r="V32" s="5" t="s">
        <v>501</v>
      </c>
      <c r="W32" s="5" t="s">
        <v>502</v>
      </c>
      <c r="X32" s="5" t="s">
        <v>503</v>
      </c>
      <c r="Y32" s="5" t="s">
        <v>504</v>
      </c>
      <c r="Z32" s="5" t="s">
        <v>505</v>
      </c>
      <c r="AA32" s="5" t="s">
        <v>506</v>
      </c>
      <c r="AB32" s="5" t="s">
        <v>507</v>
      </c>
      <c r="AC32" s="5" t="s">
        <v>50</v>
      </c>
      <c r="AD32" s="5" t="s">
        <v>508</v>
      </c>
      <c r="AE32" s="5">
        <v>2</v>
      </c>
      <c r="AF32" s="5" t="s">
        <v>509</v>
      </c>
      <c r="AG32" s="5" t="s">
        <v>510</v>
      </c>
      <c r="AH32" s="8" t="s">
        <v>3233</v>
      </c>
      <c r="AI32" s="5">
        <v>31735066266374</v>
      </c>
    </row>
    <row r="33" spans="1:35" ht="38.25" x14ac:dyDescent="0.4">
      <c r="A33" s="4">
        <v>1</v>
      </c>
      <c r="B33" s="5">
        <v>32</v>
      </c>
      <c r="C33" s="5" t="s">
        <v>243</v>
      </c>
      <c r="D33" s="5" t="s">
        <v>244</v>
      </c>
      <c r="E33" s="5" t="s">
        <v>217</v>
      </c>
      <c r="F33" s="5" t="s">
        <v>334</v>
      </c>
      <c r="G33" s="5" t="s">
        <v>511</v>
      </c>
      <c r="H33" s="4">
        <v>1849</v>
      </c>
      <c r="I33" s="5" t="s">
        <v>512</v>
      </c>
      <c r="J33" s="5" t="s">
        <v>41</v>
      </c>
      <c r="K33" s="5" t="s">
        <v>513</v>
      </c>
      <c r="L33" s="5" t="s">
        <v>514</v>
      </c>
      <c r="M33" s="5" t="s">
        <v>171</v>
      </c>
      <c r="N33" s="5" t="s">
        <v>515</v>
      </c>
      <c r="O33" s="5" t="s">
        <v>121</v>
      </c>
      <c r="P33" s="5" t="s">
        <v>516</v>
      </c>
      <c r="Q33" s="5" t="s">
        <v>517</v>
      </c>
      <c r="R33" s="5" t="s">
        <v>518</v>
      </c>
      <c r="S33" s="7">
        <v>25.63</v>
      </c>
      <c r="T33" s="5" t="s">
        <v>67</v>
      </c>
      <c r="U33" s="5"/>
      <c r="V33" s="5"/>
      <c r="W33" s="5"/>
      <c r="X33" s="5" t="s">
        <v>519</v>
      </c>
      <c r="Y33" s="5"/>
      <c r="Z33" s="5"/>
      <c r="AA33" s="5" t="s">
        <v>520</v>
      </c>
      <c r="AB33" s="5" t="s">
        <v>521</v>
      </c>
      <c r="AC33" s="5" t="s">
        <v>50</v>
      </c>
      <c r="AD33" s="5" t="s">
        <v>522</v>
      </c>
      <c r="AE33" s="5">
        <v>1</v>
      </c>
      <c r="AF33" s="5" t="s">
        <v>523</v>
      </c>
      <c r="AG33" s="5">
        <v>1849</v>
      </c>
      <c r="AH33" s="8" t="s">
        <v>3233</v>
      </c>
      <c r="AI33" s="5">
        <v>31735066237417</v>
      </c>
    </row>
    <row r="34" spans="1:35" ht="51" x14ac:dyDescent="0.4">
      <c r="A34" s="4">
        <v>1</v>
      </c>
      <c r="B34" s="5">
        <v>33</v>
      </c>
      <c r="C34" s="5" t="s">
        <v>95</v>
      </c>
      <c r="D34" s="5" t="s">
        <v>524</v>
      </c>
      <c r="E34" s="5" t="s">
        <v>217</v>
      </c>
      <c r="F34" s="5" t="s">
        <v>334</v>
      </c>
      <c r="G34" s="5" t="s">
        <v>525</v>
      </c>
      <c r="H34" s="4">
        <v>1850</v>
      </c>
      <c r="I34" s="5" t="s">
        <v>526</v>
      </c>
      <c r="J34" s="5" t="s">
        <v>41</v>
      </c>
      <c r="K34" s="5" t="s">
        <v>527</v>
      </c>
      <c r="L34" s="5" t="s">
        <v>528</v>
      </c>
      <c r="M34" s="5" t="s">
        <v>259</v>
      </c>
      <c r="N34" s="5" t="s">
        <v>529</v>
      </c>
      <c r="O34" s="5" t="s">
        <v>530</v>
      </c>
      <c r="P34" s="5" t="s">
        <v>530</v>
      </c>
      <c r="Q34" s="5" t="s">
        <v>531</v>
      </c>
      <c r="R34" s="5" t="s">
        <v>532</v>
      </c>
      <c r="S34" s="7">
        <v>200</v>
      </c>
      <c r="T34" s="5" t="s">
        <v>67</v>
      </c>
      <c r="U34" s="5" t="s">
        <v>533</v>
      </c>
      <c r="V34" s="5" t="s">
        <v>534</v>
      </c>
      <c r="W34" s="5" t="s">
        <v>535</v>
      </c>
      <c r="X34" s="5" t="s">
        <v>71</v>
      </c>
      <c r="Y34" s="5" t="s">
        <v>536</v>
      </c>
      <c r="Z34" s="5"/>
      <c r="AA34" s="5" t="s">
        <v>537</v>
      </c>
      <c r="AB34" s="5"/>
      <c r="AC34" s="5" t="s">
        <v>164</v>
      </c>
      <c r="AD34" s="5" t="s">
        <v>538</v>
      </c>
      <c r="AE34" s="5">
        <v>1</v>
      </c>
      <c r="AF34" s="5" t="s">
        <v>539</v>
      </c>
      <c r="AG34" s="5">
        <v>1850</v>
      </c>
      <c r="AH34" s="8" t="s">
        <v>3233</v>
      </c>
      <c r="AI34" s="5">
        <v>31735064607868</v>
      </c>
    </row>
    <row r="35" spans="1:35" ht="127.5" x14ac:dyDescent="0.4">
      <c r="A35" s="4">
        <v>1</v>
      </c>
      <c r="B35" s="5" t="s">
        <v>540</v>
      </c>
      <c r="C35" s="5" t="s">
        <v>53</v>
      </c>
      <c r="D35" s="5" t="s">
        <v>541</v>
      </c>
      <c r="E35" s="5" t="s">
        <v>217</v>
      </c>
      <c r="F35" s="5" t="s">
        <v>334</v>
      </c>
      <c r="G35" s="5" t="s">
        <v>542</v>
      </c>
      <c r="H35" s="4">
        <v>1850</v>
      </c>
      <c r="I35" s="5" t="s">
        <v>543</v>
      </c>
      <c r="J35" s="5" t="s">
        <v>41</v>
      </c>
      <c r="K35" s="5" t="s">
        <v>544</v>
      </c>
      <c r="L35" s="5" t="s">
        <v>545</v>
      </c>
      <c r="M35" s="5" t="s">
        <v>292</v>
      </c>
      <c r="N35" s="5" t="s">
        <v>546</v>
      </c>
      <c r="O35" s="5" t="s">
        <v>340</v>
      </c>
      <c r="P35" s="5" t="s">
        <v>340</v>
      </c>
      <c r="Q35" s="5" t="s">
        <v>547</v>
      </c>
      <c r="R35" s="5" t="s">
        <v>548</v>
      </c>
      <c r="S35" s="7">
        <v>96</v>
      </c>
      <c r="T35" s="5" t="s">
        <v>67</v>
      </c>
      <c r="U35" s="5" t="s">
        <v>549</v>
      </c>
      <c r="V35" s="5" t="s">
        <v>550</v>
      </c>
      <c r="W35" s="5" t="s">
        <v>551</v>
      </c>
      <c r="X35" s="5" t="s">
        <v>552</v>
      </c>
      <c r="Y35" s="5" t="s">
        <v>553</v>
      </c>
      <c r="Z35" s="5" t="s">
        <v>554</v>
      </c>
      <c r="AA35" s="5" t="s">
        <v>555</v>
      </c>
      <c r="AB35" s="5"/>
      <c r="AC35" s="5" t="s">
        <v>50</v>
      </c>
      <c r="AD35" s="5" t="s">
        <v>556</v>
      </c>
      <c r="AE35" s="5">
        <v>1</v>
      </c>
      <c r="AF35" s="5" t="s">
        <v>557</v>
      </c>
      <c r="AG35" s="5" t="s">
        <v>558</v>
      </c>
      <c r="AH35" s="8" t="s">
        <v>3233</v>
      </c>
      <c r="AI35" s="5">
        <v>31735068223258</v>
      </c>
    </row>
    <row r="36" spans="1:35" ht="114.75" x14ac:dyDescent="0.4">
      <c r="A36" s="4">
        <v>1</v>
      </c>
      <c r="B36" s="5">
        <v>34</v>
      </c>
      <c r="C36" s="5" t="s">
        <v>243</v>
      </c>
      <c r="D36" s="5" t="s">
        <v>559</v>
      </c>
      <c r="E36" s="5" t="s">
        <v>560</v>
      </c>
      <c r="F36" s="5" t="s">
        <v>561</v>
      </c>
      <c r="G36" s="5" t="s">
        <v>562</v>
      </c>
      <c r="H36" s="4">
        <v>1854</v>
      </c>
      <c r="I36" s="5" t="s">
        <v>563</v>
      </c>
      <c r="J36" s="5" t="s">
        <v>41</v>
      </c>
      <c r="K36" s="5" t="s">
        <v>564</v>
      </c>
      <c r="L36" s="5" t="s">
        <v>565</v>
      </c>
      <c r="M36" s="5" t="s">
        <v>259</v>
      </c>
      <c r="N36" s="5" t="s">
        <v>566</v>
      </c>
      <c r="O36" s="5" t="s">
        <v>340</v>
      </c>
      <c r="P36" s="5" t="s">
        <v>340</v>
      </c>
      <c r="Q36" s="5" t="s">
        <v>567</v>
      </c>
      <c r="R36" s="5" t="s">
        <v>568</v>
      </c>
      <c r="S36" s="7">
        <v>100</v>
      </c>
      <c r="T36" s="5" t="s">
        <v>67</v>
      </c>
      <c r="U36" s="5" t="s">
        <v>500</v>
      </c>
      <c r="V36" s="5" t="s">
        <v>569</v>
      </c>
      <c r="W36" s="5" t="s">
        <v>502</v>
      </c>
      <c r="X36" s="5" t="s">
        <v>570</v>
      </c>
      <c r="Y36" s="5"/>
      <c r="Z36" s="5" t="s">
        <v>571</v>
      </c>
      <c r="AA36" s="5" t="s">
        <v>572</v>
      </c>
      <c r="AB36" s="5" t="s">
        <v>573</v>
      </c>
      <c r="AC36" s="5" t="s">
        <v>50</v>
      </c>
      <c r="AD36" s="5" t="s">
        <v>574</v>
      </c>
      <c r="AE36" s="5">
        <v>2</v>
      </c>
      <c r="AF36" s="5" t="s">
        <v>575</v>
      </c>
      <c r="AG36" s="5" t="s">
        <v>576</v>
      </c>
      <c r="AH36" s="8" t="s">
        <v>3233</v>
      </c>
      <c r="AI36" s="5">
        <v>31735066267802</v>
      </c>
    </row>
    <row r="37" spans="1:35" ht="63.75" x14ac:dyDescent="0.4">
      <c r="A37" s="4">
        <v>1</v>
      </c>
      <c r="B37" s="5">
        <v>35</v>
      </c>
      <c r="C37" s="5" t="s">
        <v>53</v>
      </c>
      <c r="D37" s="5" t="s">
        <v>541</v>
      </c>
      <c r="E37" s="5" t="s">
        <v>560</v>
      </c>
      <c r="F37" s="5" t="s">
        <v>561</v>
      </c>
      <c r="G37" s="5" t="s">
        <v>577</v>
      </c>
      <c r="H37" s="4">
        <v>1858</v>
      </c>
      <c r="I37" s="5" t="s">
        <v>578</v>
      </c>
      <c r="J37" s="5" t="s">
        <v>41</v>
      </c>
      <c r="K37" s="5" t="s">
        <v>579</v>
      </c>
      <c r="L37" s="5" t="s">
        <v>580</v>
      </c>
      <c r="M37" s="5" t="s">
        <v>259</v>
      </c>
      <c r="N37" s="5" t="s">
        <v>581</v>
      </c>
      <c r="O37" s="5" t="s">
        <v>582</v>
      </c>
      <c r="P37" s="5" t="s">
        <v>583</v>
      </c>
      <c r="Q37" s="5" t="s">
        <v>584</v>
      </c>
      <c r="R37" s="5" t="s">
        <v>585</v>
      </c>
      <c r="S37" s="7">
        <v>130000</v>
      </c>
      <c r="T37" s="5" t="s">
        <v>449</v>
      </c>
      <c r="U37" s="5" t="s">
        <v>586</v>
      </c>
      <c r="V37" s="5" t="s">
        <v>587</v>
      </c>
      <c r="W37" s="5" t="s">
        <v>588</v>
      </c>
      <c r="X37" s="5" t="s">
        <v>589</v>
      </c>
      <c r="Y37" s="5" t="s">
        <v>590</v>
      </c>
      <c r="Z37" s="5"/>
      <c r="AA37" s="5" t="s">
        <v>591</v>
      </c>
      <c r="AB37" s="5" t="s">
        <v>592</v>
      </c>
      <c r="AC37" s="5" t="s">
        <v>50</v>
      </c>
      <c r="AD37" s="5" t="s">
        <v>593</v>
      </c>
      <c r="AE37" s="5">
        <v>1</v>
      </c>
      <c r="AF37" s="5" t="s">
        <v>594</v>
      </c>
      <c r="AG37" s="5">
        <v>1858</v>
      </c>
      <c r="AH37" s="8" t="s">
        <v>3233</v>
      </c>
      <c r="AI37" s="5">
        <v>31735066267885</v>
      </c>
    </row>
    <row r="38" spans="1:35" ht="38.25" x14ac:dyDescent="0.4">
      <c r="A38" s="4">
        <v>1</v>
      </c>
      <c r="B38" s="5">
        <v>36</v>
      </c>
      <c r="C38" s="5" t="s">
        <v>53</v>
      </c>
      <c r="D38" s="5" t="s">
        <v>541</v>
      </c>
      <c r="E38" s="5" t="s">
        <v>560</v>
      </c>
      <c r="F38" s="5" t="s">
        <v>595</v>
      </c>
      <c r="G38" s="5" t="s">
        <v>596</v>
      </c>
      <c r="H38" s="4">
        <v>1862</v>
      </c>
      <c r="I38" s="5" t="s">
        <v>597</v>
      </c>
      <c r="J38" s="5" t="s">
        <v>41</v>
      </c>
      <c r="K38" s="5" t="s">
        <v>598</v>
      </c>
      <c r="L38" s="5" t="s">
        <v>599</v>
      </c>
      <c r="M38" s="5" t="s">
        <v>61</v>
      </c>
      <c r="N38" s="5" t="s">
        <v>600</v>
      </c>
      <c r="O38" s="5" t="s">
        <v>121</v>
      </c>
      <c r="P38" s="5" t="s">
        <v>516</v>
      </c>
      <c r="Q38" s="5" t="s">
        <v>601</v>
      </c>
      <c r="R38" s="5" t="s">
        <v>602</v>
      </c>
      <c r="S38" s="7">
        <v>8500</v>
      </c>
      <c r="T38" s="5" t="s">
        <v>449</v>
      </c>
      <c r="U38" s="5" t="s">
        <v>603</v>
      </c>
      <c r="V38" s="5" t="s">
        <v>604</v>
      </c>
      <c r="W38" s="5" t="s">
        <v>605</v>
      </c>
      <c r="X38" s="5" t="s">
        <v>71</v>
      </c>
      <c r="Y38" s="5" t="s">
        <v>606</v>
      </c>
      <c r="Z38" s="5"/>
      <c r="AA38" s="5" t="s">
        <v>607</v>
      </c>
      <c r="AB38" s="5"/>
      <c r="AC38" s="5" t="s">
        <v>164</v>
      </c>
      <c r="AD38" s="5" t="s">
        <v>608</v>
      </c>
      <c r="AE38" s="5">
        <v>1</v>
      </c>
      <c r="AF38" s="5" t="s">
        <v>609</v>
      </c>
      <c r="AG38" s="5">
        <v>1862</v>
      </c>
      <c r="AH38" s="8" t="s">
        <v>3233</v>
      </c>
      <c r="AI38" s="5">
        <v>31735064607454</v>
      </c>
    </row>
    <row r="39" spans="1:35" ht="51" x14ac:dyDescent="0.4">
      <c r="A39" s="4">
        <v>1</v>
      </c>
      <c r="B39" s="5">
        <v>37</v>
      </c>
      <c r="C39" s="5" t="s">
        <v>95</v>
      </c>
      <c r="D39" s="5" t="s">
        <v>610</v>
      </c>
      <c r="E39" s="5" t="s">
        <v>560</v>
      </c>
      <c r="F39" s="5" t="s">
        <v>595</v>
      </c>
      <c r="G39" s="5" t="s">
        <v>611</v>
      </c>
      <c r="H39" s="4">
        <v>1862</v>
      </c>
      <c r="I39" s="5" t="s">
        <v>612</v>
      </c>
      <c r="J39" s="5" t="s">
        <v>41</v>
      </c>
      <c r="K39" s="5" t="s">
        <v>613</v>
      </c>
      <c r="L39" s="5" t="s">
        <v>528</v>
      </c>
      <c r="M39" s="5" t="s">
        <v>259</v>
      </c>
      <c r="N39" s="5" t="s">
        <v>614</v>
      </c>
      <c r="O39" s="5" t="s">
        <v>530</v>
      </c>
      <c r="P39" s="5" t="s">
        <v>615</v>
      </c>
      <c r="Q39" s="5" t="s">
        <v>616</v>
      </c>
      <c r="R39" s="5" t="s">
        <v>617</v>
      </c>
      <c r="S39" s="7">
        <v>283.5</v>
      </c>
      <c r="T39" s="5" t="s">
        <v>67</v>
      </c>
      <c r="U39" s="5" t="s">
        <v>618</v>
      </c>
      <c r="V39" s="5" t="s">
        <v>619</v>
      </c>
      <c r="W39" s="5" t="s">
        <v>620</v>
      </c>
      <c r="X39" s="5" t="s">
        <v>71</v>
      </c>
      <c r="Y39" s="5" t="s">
        <v>621</v>
      </c>
      <c r="Z39" s="5"/>
      <c r="AA39" s="5" t="s">
        <v>622</v>
      </c>
      <c r="AB39" s="5" t="s">
        <v>623</v>
      </c>
      <c r="AC39" s="5" t="s">
        <v>50</v>
      </c>
      <c r="AD39" s="5" t="s">
        <v>624</v>
      </c>
      <c r="AE39" s="5">
        <v>1</v>
      </c>
      <c r="AF39" s="5" t="s">
        <v>625</v>
      </c>
      <c r="AG39" s="5">
        <v>1862</v>
      </c>
      <c r="AH39" s="8" t="s">
        <v>3233</v>
      </c>
      <c r="AI39" s="5">
        <v>31735064607728</v>
      </c>
    </row>
    <row r="40" spans="1:35" ht="38.25" x14ac:dyDescent="0.4">
      <c r="A40" s="4">
        <v>1</v>
      </c>
      <c r="B40" s="5">
        <v>38</v>
      </c>
      <c r="C40" s="5" t="s">
        <v>150</v>
      </c>
      <c r="D40" s="5" t="s">
        <v>626</v>
      </c>
      <c r="E40" s="5" t="s">
        <v>560</v>
      </c>
      <c r="F40" s="5" t="s">
        <v>595</v>
      </c>
      <c r="G40" s="5" t="s">
        <v>627</v>
      </c>
      <c r="H40" s="4">
        <v>1863</v>
      </c>
      <c r="I40" s="5" t="s">
        <v>628</v>
      </c>
      <c r="J40" s="5" t="s">
        <v>41</v>
      </c>
      <c r="K40" s="5" t="s">
        <v>629</v>
      </c>
      <c r="L40" s="5" t="s">
        <v>630</v>
      </c>
      <c r="M40" s="5" t="s">
        <v>61</v>
      </c>
      <c r="N40" s="5" t="s">
        <v>631</v>
      </c>
      <c r="O40" s="5" t="s">
        <v>530</v>
      </c>
      <c r="P40" s="5" t="s">
        <v>530</v>
      </c>
      <c r="Q40" s="5" t="s">
        <v>632</v>
      </c>
      <c r="R40" s="5" t="s">
        <v>633</v>
      </c>
      <c r="S40" s="7">
        <v>3</v>
      </c>
      <c r="T40" s="5" t="s">
        <v>634</v>
      </c>
      <c r="U40" s="5" t="s">
        <v>635</v>
      </c>
      <c r="V40" s="5"/>
      <c r="W40" s="5" t="s">
        <v>636</v>
      </c>
      <c r="X40" s="5" t="s">
        <v>637</v>
      </c>
      <c r="Y40" s="5" t="s">
        <v>638</v>
      </c>
      <c r="Z40" s="5"/>
      <c r="AA40" s="5" t="s">
        <v>639</v>
      </c>
      <c r="AB40" s="5" t="s">
        <v>640</v>
      </c>
      <c r="AC40" s="5" t="s">
        <v>50</v>
      </c>
      <c r="AD40" s="5" t="s">
        <v>641</v>
      </c>
      <c r="AE40" s="5">
        <v>1</v>
      </c>
      <c r="AF40" s="5" t="s">
        <v>642</v>
      </c>
      <c r="AG40" s="5"/>
      <c r="AH40" s="8" t="s">
        <v>3233</v>
      </c>
      <c r="AI40" s="5">
        <v>31735066267448</v>
      </c>
    </row>
    <row r="41" spans="1:35" ht="89.25" x14ac:dyDescent="0.4">
      <c r="A41" s="4">
        <v>1</v>
      </c>
      <c r="B41" s="5">
        <v>39</v>
      </c>
      <c r="C41" s="5" t="s">
        <v>150</v>
      </c>
      <c r="D41" s="5" t="s">
        <v>643</v>
      </c>
      <c r="E41" s="5" t="s">
        <v>560</v>
      </c>
      <c r="F41" s="5" t="s">
        <v>595</v>
      </c>
      <c r="G41" s="5" t="s">
        <v>644</v>
      </c>
      <c r="H41" s="4">
        <v>1864</v>
      </c>
      <c r="I41" s="5" t="s">
        <v>645</v>
      </c>
      <c r="J41" s="5" t="s">
        <v>414</v>
      </c>
      <c r="K41" s="5" t="s">
        <v>646</v>
      </c>
      <c r="L41" s="5" t="s">
        <v>647</v>
      </c>
      <c r="M41" s="5" t="s">
        <v>171</v>
      </c>
      <c r="N41" s="5" t="s">
        <v>648</v>
      </c>
      <c r="O41" s="5" t="s">
        <v>45</v>
      </c>
      <c r="P41" s="5" t="s">
        <v>45</v>
      </c>
      <c r="Q41" s="5" t="s">
        <v>649</v>
      </c>
      <c r="R41" s="5" t="s">
        <v>650</v>
      </c>
      <c r="S41" s="7">
        <v>50</v>
      </c>
      <c r="T41" s="5" t="s">
        <v>67</v>
      </c>
      <c r="U41" s="5" t="s">
        <v>651</v>
      </c>
      <c r="V41" s="5" t="s">
        <v>652</v>
      </c>
      <c r="W41" s="5" t="s">
        <v>653</v>
      </c>
      <c r="X41" s="5" t="s">
        <v>654</v>
      </c>
      <c r="Y41" s="5" t="s">
        <v>655</v>
      </c>
      <c r="Z41" s="5" t="s">
        <v>656</v>
      </c>
      <c r="AA41" s="5" t="s">
        <v>657</v>
      </c>
      <c r="AB41" s="5" t="s">
        <v>658</v>
      </c>
      <c r="AC41" s="5" t="s">
        <v>313</v>
      </c>
      <c r="AD41" s="5" t="s">
        <v>659</v>
      </c>
      <c r="AE41" s="5">
        <v>2</v>
      </c>
      <c r="AF41" s="5" t="s">
        <v>660</v>
      </c>
      <c r="AG41" s="5" t="s">
        <v>661</v>
      </c>
      <c r="AH41" s="8" t="s">
        <v>3233</v>
      </c>
      <c r="AI41" s="5">
        <v>31735066237359</v>
      </c>
    </row>
    <row r="42" spans="1:35" ht="38.25" x14ac:dyDescent="0.4">
      <c r="A42" s="4">
        <v>1</v>
      </c>
      <c r="B42" s="5" t="s">
        <v>662</v>
      </c>
      <c r="C42" s="5" t="s">
        <v>243</v>
      </c>
      <c r="D42" s="5" t="s">
        <v>244</v>
      </c>
      <c r="E42" s="5" t="s">
        <v>560</v>
      </c>
      <c r="F42" s="5" t="s">
        <v>595</v>
      </c>
      <c r="G42" s="5" t="s">
        <v>663</v>
      </c>
      <c r="H42" s="4">
        <v>1864</v>
      </c>
      <c r="I42" s="5" t="s">
        <v>664</v>
      </c>
      <c r="J42" s="5" t="s">
        <v>41</v>
      </c>
      <c r="K42" s="5"/>
      <c r="L42" s="5" t="s">
        <v>665</v>
      </c>
      <c r="M42" s="5" t="s">
        <v>292</v>
      </c>
      <c r="N42" s="5" t="s">
        <v>292</v>
      </c>
      <c r="O42" s="5" t="s">
        <v>83</v>
      </c>
      <c r="P42" s="5" t="s">
        <v>83</v>
      </c>
      <c r="Q42" s="5" t="s">
        <v>666</v>
      </c>
      <c r="R42" s="5" t="s">
        <v>667</v>
      </c>
      <c r="S42" s="7">
        <v>65</v>
      </c>
      <c r="T42" s="5" t="s">
        <v>67</v>
      </c>
      <c r="U42" s="5"/>
      <c r="V42" s="5"/>
      <c r="W42" s="5"/>
      <c r="X42" s="5" t="s">
        <v>668</v>
      </c>
      <c r="Y42" s="5"/>
      <c r="Z42" s="5"/>
      <c r="AA42" s="5" t="s">
        <v>669</v>
      </c>
      <c r="AB42" s="5"/>
      <c r="AC42" s="5" t="s">
        <v>50</v>
      </c>
      <c r="AD42" s="5" t="s">
        <v>670</v>
      </c>
      <c r="AE42" s="5">
        <v>1</v>
      </c>
      <c r="AF42" s="5" t="s">
        <v>671</v>
      </c>
      <c r="AG42" s="5">
        <v>1864</v>
      </c>
      <c r="AH42" s="8" t="s">
        <v>3233</v>
      </c>
      <c r="AI42" s="5">
        <v>31735068223266</v>
      </c>
    </row>
    <row r="43" spans="1:35" ht="63.75" x14ac:dyDescent="0.4">
      <c r="A43" s="4">
        <v>1</v>
      </c>
      <c r="B43" s="5">
        <v>40</v>
      </c>
      <c r="C43" s="5" t="s">
        <v>53</v>
      </c>
      <c r="D43" s="5" t="s">
        <v>541</v>
      </c>
      <c r="E43" s="5" t="s">
        <v>560</v>
      </c>
      <c r="F43" s="5" t="s">
        <v>595</v>
      </c>
      <c r="G43" s="5" t="s">
        <v>672</v>
      </c>
      <c r="H43" s="4">
        <v>1865</v>
      </c>
      <c r="I43" s="5" t="s">
        <v>673</v>
      </c>
      <c r="J43" s="5" t="s">
        <v>674</v>
      </c>
      <c r="K43" s="5" t="s">
        <v>675</v>
      </c>
      <c r="L43" s="5" t="s">
        <v>528</v>
      </c>
      <c r="M43" s="5" t="s">
        <v>259</v>
      </c>
      <c r="N43" s="5" t="s">
        <v>676</v>
      </c>
      <c r="O43" s="5" t="s">
        <v>261</v>
      </c>
      <c r="P43" s="5" t="s">
        <v>261</v>
      </c>
      <c r="Q43" s="5" t="s">
        <v>677</v>
      </c>
      <c r="R43" s="5" t="s">
        <v>678</v>
      </c>
      <c r="S43" s="7">
        <v>18</v>
      </c>
      <c r="T43" s="5" t="s">
        <v>67</v>
      </c>
      <c r="U43" s="5" t="s">
        <v>679</v>
      </c>
      <c r="V43" s="5" t="s">
        <v>680</v>
      </c>
      <c r="W43" s="5" t="s">
        <v>681</v>
      </c>
      <c r="X43" s="5" t="s">
        <v>682</v>
      </c>
      <c r="Y43" s="5" t="s">
        <v>683</v>
      </c>
      <c r="Z43" s="5"/>
      <c r="AA43" s="5" t="s">
        <v>684</v>
      </c>
      <c r="AB43" s="5" t="s">
        <v>685</v>
      </c>
      <c r="AC43" s="5" t="s">
        <v>164</v>
      </c>
      <c r="AD43" s="5" t="s">
        <v>686</v>
      </c>
      <c r="AE43" s="5">
        <v>1</v>
      </c>
      <c r="AF43" s="5" t="s">
        <v>687</v>
      </c>
      <c r="AG43" s="5">
        <v>1866</v>
      </c>
      <c r="AH43" s="8" t="s">
        <v>3233</v>
      </c>
      <c r="AI43" s="5">
        <v>31735066266267</v>
      </c>
    </row>
    <row r="44" spans="1:35" ht="38.25" x14ac:dyDescent="0.4">
      <c r="A44" s="4">
        <v>1</v>
      </c>
      <c r="B44" s="5">
        <v>41</v>
      </c>
      <c r="C44" s="5" t="s">
        <v>53</v>
      </c>
      <c r="D44" s="5" t="s">
        <v>541</v>
      </c>
      <c r="E44" s="5" t="s">
        <v>560</v>
      </c>
      <c r="F44" s="5" t="s">
        <v>595</v>
      </c>
      <c r="G44" s="5" t="s">
        <v>688</v>
      </c>
      <c r="H44" s="4">
        <v>1866</v>
      </c>
      <c r="I44" s="5" t="s">
        <v>689</v>
      </c>
      <c r="J44" s="5" t="s">
        <v>41</v>
      </c>
      <c r="K44" s="5" t="s">
        <v>690</v>
      </c>
      <c r="L44" s="5" t="s">
        <v>691</v>
      </c>
      <c r="M44" s="5" t="s">
        <v>292</v>
      </c>
      <c r="N44" s="5" t="s">
        <v>692</v>
      </c>
      <c r="O44" s="5" t="s">
        <v>83</v>
      </c>
      <c r="P44" s="5" t="s">
        <v>224</v>
      </c>
      <c r="Q44" s="5" t="s">
        <v>693</v>
      </c>
      <c r="R44" s="5" t="s">
        <v>694</v>
      </c>
      <c r="S44" s="7">
        <v>12</v>
      </c>
      <c r="T44" s="5" t="s">
        <v>67</v>
      </c>
      <c r="U44" s="5" t="s">
        <v>695</v>
      </c>
      <c r="V44" s="5" t="s">
        <v>696</v>
      </c>
      <c r="W44" s="5" t="s">
        <v>697</v>
      </c>
      <c r="X44" s="5" t="s">
        <v>71</v>
      </c>
      <c r="Y44" s="5" t="s">
        <v>698</v>
      </c>
      <c r="Z44" s="5"/>
      <c r="AA44" s="5" t="s">
        <v>699</v>
      </c>
      <c r="AB44" s="5"/>
      <c r="AC44" s="5" t="s">
        <v>164</v>
      </c>
      <c r="AD44" s="5"/>
      <c r="AE44" s="5">
        <v>1</v>
      </c>
      <c r="AF44" s="5" t="s">
        <v>700</v>
      </c>
      <c r="AG44" s="5">
        <v>1866</v>
      </c>
      <c r="AH44" s="8" t="s">
        <v>3233</v>
      </c>
      <c r="AI44" s="5">
        <v>31735064607447</v>
      </c>
    </row>
    <row r="45" spans="1:35" ht="76.5" x14ac:dyDescent="0.4">
      <c r="A45" s="4">
        <v>1</v>
      </c>
      <c r="B45" s="5">
        <v>42</v>
      </c>
      <c r="C45" s="5" t="s">
        <v>95</v>
      </c>
      <c r="D45" s="5" t="s">
        <v>701</v>
      </c>
      <c r="E45" s="5" t="s">
        <v>560</v>
      </c>
      <c r="F45" s="5" t="s">
        <v>595</v>
      </c>
      <c r="G45" s="5" t="s">
        <v>702</v>
      </c>
      <c r="H45" s="4">
        <v>1866</v>
      </c>
      <c r="I45" s="5" t="s">
        <v>703</v>
      </c>
      <c r="J45" s="5" t="s">
        <v>41</v>
      </c>
      <c r="K45" s="5" t="s">
        <v>704</v>
      </c>
      <c r="L45" s="5" t="s">
        <v>705</v>
      </c>
      <c r="M45" s="5" t="s">
        <v>259</v>
      </c>
      <c r="N45" s="5" t="s">
        <v>706</v>
      </c>
      <c r="O45" s="5" t="s">
        <v>261</v>
      </c>
      <c r="P45" s="5" t="s">
        <v>261</v>
      </c>
      <c r="Q45" s="5" t="s">
        <v>707</v>
      </c>
      <c r="R45" s="5" t="s">
        <v>708</v>
      </c>
      <c r="S45" s="7">
        <v>29.75</v>
      </c>
      <c r="T45" s="5" t="s">
        <v>67</v>
      </c>
      <c r="U45" s="5" t="s">
        <v>709</v>
      </c>
      <c r="V45" s="5" t="s">
        <v>710</v>
      </c>
      <c r="W45" s="5" t="s">
        <v>711</v>
      </c>
      <c r="X45" s="5" t="s">
        <v>712</v>
      </c>
      <c r="Y45" s="5" t="s">
        <v>713</v>
      </c>
      <c r="Z45" s="5" t="s">
        <v>714</v>
      </c>
      <c r="AA45" s="5" t="s">
        <v>715</v>
      </c>
      <c r="AB45" s="5" t="s">
        <v>716</v>
      </c>
      <c r="AC45" s="5" t="s">
        <v>50</v>
      </c>
      <c r="AD45" s="5" t="s">
        <v>717</v>
      </c>
      <c r="AE45" s="5">
        <v>2</v>
      </c>
      <c r="AF45" s="5" t="s">
        <v>718</v>
      </c>
      <c r="AG45" s="5" t="s">
        <v>719</v>
      </c>
      <c r="AH45" s="8" t="s">
        <v>3233</v>
      </c>
      <c r="AI45" s="5">
        <v>31735064607835</v>
      </c>
    </row>
    <row r="46" spans="1:35" ht="38.25" x14ac:dyDescent="0.4">
      <c r="A46" s="4">
        <v>1</v>
      </c>
      <c r="B46" s="5">
        <v>43</v>
      </c>
      <c r="C46" s="5" t="s">
        <v>243</v>
      </c>
      <c r="D46" s="5" t="s">
        <v>244</v>
      </c>
      <c r="E46" s="5" t="s">
        <v>560</v>
      </c>
      <c r="F46" s="5" t="s">
        <v>595</v>
      </c>
      <c r="G46" s="5" t="s">
        <v>720</v>
      </c>
      <c r="H46" s="4">
        <v>1867</v>
      </c>
      <c r="I46" s="5" t="s">
        <v>721</v>
      </c>
      <c r="J46" s="5" t="s">
        <v>41</v>
      </c>
      <c r="K46" s="5"/>
      <c r="L46" s="5" t="s">
        <v>722</v>
      </c>
      <c r="M46" s="5" t="s">
        <v>190</v>
      </c>
      <c r="N46" s="5" t="s">
        <v>723</v>
      </c>
      <c r="O46" s="5" t="s">
        <v>45</v>
      </c>
      <c r="P46" s="5" t="s">
        <v>45</v>
      </c>
      <c r="Q46" s="5" t="s">
        <v>724</v>
      </c>
      <c r="R46" s="5" t="s">
        <v>725</v>
      </c>
      <c r="S46" s="7">
        <v>11</v>
      </c>
      <c r="T46" s="5" t="s">
        <v>67</v>
      </c>
      <c r="U46" s="5"/>
      <c r="V46" s="5"/>
      <c r="W46" s="5"/>
      <c r="X46" s="5" t="s">
        <v>726</v>
      </c>
      <c r="Y46" s="5"/>
      <c r="Z46" s="5"/>
      <c r="AA46" s="5" t="s">
        <v>727</v>
      </c>
      <c r="AB46" s="5"/>
      <c r="AC46" s="5" t="s">
        <v>50</v>
      </c>
      <c r="AD46" s="5" t="s">
        <v>728</v>
      </c>
      <c r="AE46" s="5">
        <v>1</v>
      </c>
      <c r="AF46" s="5" t="s">
        <v>729</v>
      </c>
      <c r="AG46" s="5">
        <v>1867</v>
      </c>
      <c r="AH46" s="8" t="s">
        <v>3233</v>
      </c>
      <c r="AI46" s="5">
        <v>31735066237565</v>
      </c>
    </row>
    <row r="47" spans="1:35" ht="89.25" x14ac:dyDescent="0.4">
      <c r="A47" s="4">
        <v>1</v>
      </c>
      <c r="B47" s="5">
        <v>44</v>
      </c>
      <c r="C47" s="5" t="s">
        <v>491</v>
      </c>
      <c r="D47" s="5" t="s">
        <v>730</v>
      </c>
      <c r="E47" s="5" t="s">
        <v>560</v>
      </c>
      <c r="F47" s="5" t="s">
        <v>595</v>
      </c>
      <c r="G47" s="5" t="s">
        <v>731</v>
      </c>
      <c r="H47" s="4">
        <v>1868</v>
      </c>
      <c r="I47" s="5" t="s">
        <v>732</v>
      </c>
      <c r="J47" s="5" t="s">
        <v>41</v>
      </c>
      <c r="K47" s="5" t="s">
        <v>733</v>
      </c>
      <c r="L47" s="5" t="s">
        <v>734</v>
      </c>
      <c r="M47" s="5" t="s">
        <v>735</v>
      </c>
      <c r="N47" s="5" t="s">
        <v>736</v>
      </c>
      <c r="O47" s="5" t="s">
        <v>582</v>
      </c>
      <c r="P47" s="5" t="s">
        <v>582</v>
      </c>
      <c r="Q47" s="5" t="s">
        <v>737</v>
      </c>
      <c r="R47" s="5" t="s">
        <v>738</v>
      </c>
      <c r="S47" s="7">
        <v>56</v>
      </c>
      <c r="T47" s="5" t="s">
        <v>67</v>
      </c>
      <c r="U47" s="5" t="s">
        <v>739</v>
      </c>
      <c r="V47" s="5" t="s">
        <v>740</v>
      </c>
      <c r="W47" s="5" t="s">
        <v>741</v>
      </c>
      <c r="X47" s="5" t="s">
        <v>742</v>
      </c>
      <c r="Y47" s="5" t="s">
        <v>743</v>
      </c>
      <c r="Z47" s="5" t="s">
        <v>744</v>
      </c>
      <c r="AA47" s="5" t="s">
        <v>745</v>
      </c>
      <c r="AB47" s="5"/>
      <c r="AC47" s="5" t="s">
        <v>50</v>
      </c>
      <c r="AD47" s="5" t="s">
        <v>746</v>
      </c>
      <c r="AE47" s="5">
        <v>3</v>
      </c>
      <c r="AF47" s="5" t="s">
        <v>747</v>
      </c>
      <c r="AG47" s="5" t="s">
        <v>748</v>
      </c>
      <c r="AH47" s="8" t="s">
        <v>3233</v>
      </c>
      <c r="AI47" s="5">
        <v>31735066266473</v>
      </c>
    </row>
    <row r="48" spans="1:35" ht="51" x14ac:dyDescent="0.4">
      <c r="A48" s="4">
        <v>1</v>
      </c>
      <c r="B48" s="5">
        <v>45</v>
      </c>
      <c r="C48" s="5" t="s">
        <v>53</v>
      </c>
      <c r="D48" s="5" t="s">
        <v>749</v>
      </c>
      <c r="E48" s="5" t="s">
        <v>560</v>
      </c>
      <c r="F48" s="5" t="s">
        <v>595</v>
      </c>
      <c r="G48" s="5" t="s">
        <v>750</v>
      </c>
      <c r="H48" s="4">
        <v>1869</v>
      </c>
      <c r="I48" s="5" t="s">
        <v>751</v>
      </c>
      <c r="J48" s="5" t="s">
        <v>41</v>
      </c>
      <c r="K48" s="5" t="s">
        <v>752</v>
      </c>
      <c r="L48" s="5" t="s">
        <v>599</v>
      </c>
      <c r="M48" s="5" t="s">
        <v>61</v>
      </c>
      <c r="N48" s="5" t="s">
        <v>753</v>
      </c>
      <c r="O48" s="5" t="s">
        <v>121</v>
      </c>
      <c r="P48" s="5" t="s">
        <v>516</v>
      </c>
      <c r="Q48" s="5" t="s">
        <v>754</v>
      </c>
      <c r="R48" s="5" t="s">
        <v>755</v>
      </c>
      <c r="S48" s="7">
        <v>8</v>
      </c>
      <c r="T48" s="5" t="s">
        <v>634</v>
      </c>
      <c r="U48" s="5" t="s">
        <v>756</v>
      </c>
      <c r="V48" s="5" t="s">
        <v>757</v>
      </c>
      <c r="W48" s="5" t="s">
        <v>758</v>
      </c>
      <c r="X48" s="5" t="s">
        <v>71</v>
      </c>
      <c r="Y48" s="5" t="s">
        <v>759</v>
      </c>
      <c r="Z48" s="5"/>
      <c r="AA48" s="5" t="s">
        <v>760</v>
      </c>
      <c r="AB48" s="5" t="s">
        <v>761</v>
      </c>
      <c r="AC48" s="5" t="s">
        <v>50</v>
      </c>
      <c r="AD48" s="5" t="s">
        <v>762</v>
      </c>
      <c r="AE48" s="5">
        <v>1</v>
      </c>
      <c r="AF48" s="5" t="s">
        <v>763</v>
      </c>
      <c r="AG48" s="5">
        <v>1869</v>
      </c>
      <c r="AH48" s="8" t="s">
        <v>3233</v>
      </c>
      <c r="AI48" s="5">
        <v>31735066267737</v>
      </c>
    </row>
    <row r="49" spans="1:35" ht="38.25" x14ac:dyDescent="0.4">
      <c r="A49" s="4">
        <v>1</v>
      </c>
      <c r="B49" s="5">
        <v>46</v>
      </c>
      <c r="C49" s="5" t="s">
        <v>53</v>
      </c>
      <c r="D49" s="5" t="s">
        <v>764</v>
      </c>
      <c r="E49" s="5" t="s">
        <v>560</v>
      </c>
      <c r="F49" s="5" t="s">
        <v>595</v>
      </c>
      <c r="G49" s="5" t="s">
        <v>765</v>
      </c>
      <c r="H49" s="4">
        <v>1869</v>
      </c>
      <c r="I49" s="5" t="s">
        <v>766</v>
      </c>
      <c r="J49" s="5" t="s">
        <v>41</v>
      </c>
      <c r="K49" s="5" t="s">
        <v>767</v>
      </c>
      <c r="L49" s="5" t="s">
        <v>768</v>
      </c>
      <c r="M49" s="5" t="s">
        <v>769</v>
      </c>
      <c r="N49" s="5" t="s">
        <v>770</v>
      </c>
      <c r="O49" s="5" t="s">
        <v>530</v>
      </c>
      <c r="P49" s="5" t="s">
        <v>530</v>
      </c>
      <c r="Q49" s="5" t="s">
        <v>771</v>
      </c>
      <c r="R49" s="5" t="s">
        <v>772</v>
      </c>
      <c r="S49" s="7">
        <v>41600</v>
      </c>
      <c r="T49" s="5" t="s">
        <v>449</v>
      </c>
      <c r="U49" s="5" t="s">
        <v>773</v>
      </c>
      <c r="V49" s="5" t="s">
        <v>774</v>
      </c>
      <c r="W49" s="5"/>
      <c r="X49" s="5" t="s">
        <v>775</v>
      </c>
      <c r="Y49" s="5" t="s">
        <v>776</v>
      </c>
      <c r="Z49" s="5" t="s">
        <v>777</v>
      </c>
      <c r="AA49" s="6" t="s">
        <v>778</v>
      </c>
      <c r="AB49" s="5" t="s">
        <v>779</v>
      </c>
      <c r="AC49" s="5" t="s">
        <v>50</v>
      </c>
      <c r="AD49" s="5" t="s">
        <v>780</v>
      </c>
      <c r="AE49" s="5">
        <v>2</v>
      </c>
      <c r="AF49" s="5" t="s">
        <v>781</v>
      </c>
      <c r="AG49" s="5">
        <v>1869</v>
      </c>
      <c r="AH49" s="8" t="s">
        <v>3233</v>
      </c>
      <c r="AI49" s="5">
        <v>31735066237391</v>
      </c>
    </row>
    <row r="50" spans="1:35" ht="127.5" x14ac:dyDescent="0.4">
      <c r="A50" s="4">
        <v>1</v>
      </c>
      <c r="B50" s="5">
        <v>47</v>
      </c>
      <c r="C50" s="5" t="s">
        <v>95</v>
      </c>
      <c r="D50" s="5" t="s">
        <v>782</v>
      </c>
      <c r="E50" s="5" t="s">
        <v>560</v>
      </c>
      <c r="F50" s="5" t="s">
        <v>595</v>
      </c>
      <c r="G50" s="5" t="s">
        <v>765</v>
      </c>
      <c r="H50" s="4">
        <v>1869</v>
      </c>
      <c r="I50" s="5" t="s">
        <v>783</v>
      </c>
      <c r="J50" s="5" t="s">
        <v>41</v>
      </c>
      <c r="K50" s="5" t="s">
        <v>784</v>
      </c>
      <c r="L50" s="5" t="s">
        <v>785</v>
      </c>
      <c r="M50" s="5" t="s">
        <v>171</v>
      </c>
      <c r="N50" s="5" t="s">
        <v>786</v>
      </c>
      <c r="O50" s="5" t="s">
        <v>121</v>
      </c>
      <c r="P50" s="5" t="s">
        <v>516</v>
      </c>
      <c r="Q50" s="5" t="s">
        <v>787</v>
      </c>
      <c r="R50" s="5" t="s">
        <v>788</v>
      </c>
      <c r="S50" s="7">
        <v>4500</v>
      </c>
      <c r="T50" s="5" t="s">
        <v>449</v>
      </c>
      <c r="U50" s="5" t="s">
        <v>789</v>
      </c>
      <c r="V50" s="5" t="s">
        <v>790</v>
      </c>
      <c r="W50" s="5" t="s">
        <v>791</v>
      </c>
      <c r="X50" s="5" t="s">
        <v>792</v>
      </c>
      <c r="Y50" s="5" t="s">
        <v>793</v>
      </c>
      <c r="Z50" s="5" t="s">
        <v>794</v>
      </c>
      <c r="AA50" s="5" t="s">
        <v>795</v>
      </c>
      <c r="AB50" s="5" t="s">
        <v>796</v>
      </c>
      <c r="AC50" s="5" t="s">
        <v>50</v>
      </c>
      <c r="AD50" s="5" t="s">
        <v>797</v>
      </c>
      <c r="AE50" s="5">
        <v>3</v>
      </c>
      <c r="AF50" s="5" t="s">
        <v>798</v>
      </c>
      <c r="AG50" s="5" t="s">
        <v>799</v>
      </c>
      <c r="AH50" s="8" t="s">
        <v>3233</v>
      </c>
      <c r="AI50" s="5">
        <v>31735066268040</v>
      </c>
    </row>
    <row r="51" spans="1:35" ht="140.25" x14ac:dyDescent="0.4">
      <c r="A51" s="4">
        <v>1</v>
      </c>
      <c r="B51" s="5">
        <v>48</v>
      </c>
      <c r="C51" s="5" t="s">
        <v>53</v>
      </c>
      <c r="D51" s="5" t="s">
        <v>541</v>
      </c>
      <c r="E51" s="5" t="s">
        <v>560</v>
      </c>
      <c r="F51" s="5" t="s">
        <v>595</v>
      </c>
      <c r="G51" s="5" t="s">
        <v>800</v>
      </c>
      <c r="H51" s="4">
        <v>1869</v>
      </c>
      <c r="I51" s="5" t="s">
        <v>689</v>
      </c>
      <c r="J51" s="5" t="s">
        <v>41</v>
      </c>
      <c r="K51" s="5" t="s">
        <v>801</v>
      </c>
      <c r="L51" s="5" t="s">
        <v>802</v>
      </c>
      <c r="M51" s="5" t="s">
        <v>292</v>
      </c>
      <c r="N51" s="5" t="s">
        <v>803</v>
      </c>
      <c r="O51" s="5" t="s">
        <v>83</v>
      </c>
      <c r="P51" s="5" t="s">
        <v>83</v>
      </c>
      <c r="Q51" s="5" t="s">
        <v>804</v>
      </c>
      <c r="R51" s="5" t="s">
        <v>805</v>
      </c>
      <c r="S51" s="7">
        <v>30</v>
      </c>
      <c r="T51" s="5" t="s">
        <v>67</v>
      </c>
      <c r="U51" s="5" t="s">
        <v>806</v>
      </c>
      <c r="V51" s="5" t="s">
        <v>807</v>
      </c>
      <c r="W51" s="5" t="s">
        <v>808</v>
      </c>
      <c r="X51" s="5" t="s">
        <v>809</v>
      </c>
      <c r="Y51" s="5" t="s">
        <v>810</v>
      </c>
      <c r="Z51" s="5" t="s">
        <v>811</v>
      </c>
      <c r="AA51" s="5" t="s">
        <v>812</v>
      </c>
      <c r="AB51" s="5"/>
      <c r="AC51" s="5" t="s">
        <v>50</v>
      </c>
      <c r="AD51" s="5" t="s">
        <v>813</v>
      </c>
      <c r="AE51" s="5">
        <v>3</v>
      </c>
      <c r="AF51" s="5" t="s">
        <v>814</v>
      </c>
      <c r="AG51" s="5" t="s">
        <v>815</v>
      </c>
      <c r="AH51" s="8" t="s">
        <v>3233</v>
      </c>
      <c r="AI51" s="5">
        <v>31735066237573</v>
      </c>
    </row>
    <row r="52" spans="1:35" ht="63.75" x14ac:dyDescent="0.4">
      <c r="A52" s="4">
        <v>1</v>
      </c>
      <c r="B52" s="5">
        <v>49</v>
      </c>
      <c r="C52" s="5" t="s">
        <v>95</v>
      </c>
      <c r="D52" s="5" t="s">
        <v>96</v>
      </c>
      <c r="E52" s="5" t="s">
        <v>560</v>
      </c>
      <c r="F52" s="5" t="s">
        <v>595</v>
      </c>
      <c r="G52" s="5" t="s">
        <v>816</v>
      </c>
      <c r="H52" s="4">
        <v>1870</v>
      </c>
      <c r="I52" s="5" t="s">
        <v>817</v>
      </c>
      <c r="J52" s="5" t="s">
        <v>41</v>
      </c>
      <c r="K52" s="5" t="s">
        <v>818</v>
      </c>
      <c r="L52" s="5" t="s">
        <v>819</v>
      </c>
      <c r="M52" s="5" t="s">
        <v>769</v>
      </c>
      <c r="N52" s="5" t="s">
        <v>820</v>
      </c>
      <c r="O52" s="5" t="s">
        <v>45</v>
      </c>
      <c r="P52" s="5" t="s">
        <v>45</v>
      </c>
      <c r="Q52" s="5" t="s">
        <v>821</v>
      </c>
      <c r="R52" s="5" t="s">
        <v>822</v>
      </c>
      <c r="S52" s="7">
        <v>25</v>
      </c>
      <c r="T52" s="5" t="s">
        <v>67</v>
      </c>
      <c r="U52" s="5" t="s">
        <v>823</v>
      </c>
      <c r="V52" s="5"/>
      <c r="W52" s="5"/>
      <c r="X52" s="5" t="s">
        <v>824</v>
      </c>
      <c r="Y52" s="5" t="s">
        <v>825</v>
      </c>
      <c r="Z52" s="5" t="s">
        <v>826</v>
      </c>
      <c r="AA52" s="5" t="s">
        <v>827</v>
      </c>
      <c r="AB52" s="5" t="s">
        <v>828</v>
      </c>
      <c r="AC52" s="5" t="s">
        <v>50</v>
      </c>
      <c r="AD52" s="5" t="s">
        <v>829</v>
      </c>
      <c r="AE52" s="5">
        <v>2</v>
      </c>
      <c r="AF52" s="5" t="s">
        <v>830</v>
      </c>
      <c r="AG52" s="5" t="s">
        <v>831</v>
      </c>
      <c r="AH52" s="8" t="s">
        <v>3233</v>
      </c>
      <c r="AI52" s="5">
        <v>31735066237342</v>
      </c>
    </row>
    <row r="53" spans="1:35" ht="165.75" x14ac:dyDescent="0.4">
      <c r="A53" s="4">
        <v>1</v>
      </c>
      <c r="B53" s="5">
        <v>50</v>
      </c>
      <c r="C53" s="5" t="s">
        <v>53</v>
      </c>
      <c r="D53" s="5" t="s">
        <v>832</v>
      </c>
      <c r="E53" s="5" t="s">
        <v>560</v>
      </c>
      <c r="F53" s="5" t="s">
        <v>595</v>
      </c>
      <c r="G53" s="5" t="s">
        <v>833</v>
      </c>
      <c r="H53" s="4">
        <v>1871</v>
      </c>
      <c r="I53" s="5" t="s">
        <v>834</v>
      </c>
      <c r="J53" s="5" t="s">
        <v>41</v>
      </c>
      <c r="K53" s="5" t="s">
        <v>835</v>
      </c>
      <c r="L53" s="5" t="s">
        <v>836</v>
      </c>
      <c r="M53" s="5" t="s">
        <v>259</v>
      </c>
      <c r="N53" s="5" t="s">
        <v>837</v>
      </c>
      <c r="O53" s="5" t="s">
        <v>582</v>
      </c>
      <c r="P53" s="5" t="s">
        <v>582</v>
      </c>
      <c r="Q53" s="5" t="s">
        <v>838</v>
      </c>
      <c r="R53" s="5" t="s">
        <v>839</v>
      </c>
      <c r="S53" s="7">
        <v>115000</v>
      </c>
      <c r="T53" s="5" t="s">
        <v>449</v>
      </c>
      <c r="U53" s="5" t="s">
        <v>840</v>
      </c>
      <c r="V53" s="5" t="s">
        <v>841</v>
      </c>
      <c r="W53" s="5" t="s">
        <v>842</v>
      </c>
      <c r="X53" s="5" t="s">
        <v>843</v>
      </c>
      <c r="Y53" s="5" t="s">
        <v>844</v>
      </c>
      <c r="Z53" s="5" t="s">
        <v>845</v>
      </c>
      <c r="AA53" s="5" t="s">
        <v>846</v>
      </c>
      <c r="AB53" s="5" t="s">
        <v>847</v>
      </c>
      <c r="AC53" s="5" t="s">
        <v>50</v>
      </c>
      <c r="AD53" s="5" t="s">
        <v>848</v>
      </c>
      <c r="AE53" s="5">
        <v>4</v>
      </c>
      <c r="AF53" s="5" t="s">
        <v>849</v>
      </c>
      <c r="AG53" s="5" t="s">
        <v>850</v>
      </c>
      <c r="AH53" s="8" t="s">
        <v>3233</v>
      </c>
      <c r="AI53" s="5">
        <v>31735064607587</v>
      </c>
    </row>
    <row r="54" spans="1:35" ht="63.75" x14ac:dyDescent="0.4">
      <c r="A54" s="4">
        <v>2</v>
      </c>
      <c r="B54" s="5">
        <v>51</v>
      </c>
      <c r="C54" s="5" t="s">
        <v>53</v>
      </c>
      <c r="D54" s="5" t="s">
        <v>851</v>
      </c>
      <c r="E54" s="5" t="s">
        <v>560</v>
      </c>
      <c r="F54" s="5" t="s">
        <v>595</v>
      </c>
      <c r="G54" s="5" t="s">
        <v>852</v>
      </c>
      <c r="H54" s="4">
        <v>1870</v>
      </c>
      <c r="I54" s="5" t="s">
        <v>853</v>
      </c>
      <c r="J54" s="5" t="s">
        <v>41</v>
      </c>
      <c r="K54" s="5" t="s">
        <v>854</v>
      </c>
      <c r="L54" s="5" t="s">
        <v>855</v>
      </c>
      <c r="M54" s="5" t="s">
        <v>61</v>
      </c>
      <c r="N54" s="5" t="s">
        <v>856</v>
      </c>
      <c r="O54" s="5" t="s">
        <v>121</v>
      </c>
      <c r="P54" s="5" t="s">
        <v>516</v>
      </c>
      <c r="Q54" s="5" t="s">
        <v>857</v>
      </c>
      <c r="R54" s="5" t="s">
        <v>858</v>
      </c>
      <c r="S54" s="7">
        <v>12</v>
      </c>
      <c r="T54" s="5" t="s">
        <v>634</v>
      </c>
      <c r="U54" s="5" t="s">
        <v>859</v>
      </c>
      <c r="V54" s="5" t="s">
        <v>860</v>
      </c>
      <c r="W54" s="5" t="s">
        <v>861</v>
      </c>
      <c r="X54" s="5" t="s">
        <v>71</v>
      </c>
      <c r="Y54" s="5" t="s">
        <v>862</v>
      </c>
      <c r="Z54" s="5"/>
      <c r="AA54" s="5" t="s">
        <v>863</v>
      </c>
      <c r="AB54" s="5" t="s">
        <v>864</v>
      </c>
      <c r="AC54" s="5" t="s">
        <v>50</v>
      </c>
      <c r="AD54" s="5" t="s">
        <v>865</v>
      </c>
      <c r="AE54" s="5">
        <v>1</v>
      </c>
      <c r="AF54" s="5" t="s">
        <v>866</v>
      </c>
      <c r="AG54" s="5">
        <v>1870</v>
      </c>
      <c r="AH54" s="8" t="s">
        <v>3233</v>
      </c>
      <c r="AI54" s="5">
        <v>31735066266317</v>
      </c>
    </row>
    <row r="55" spans="1:35" ht="51" x14ac:dyDescent="0.4">
      <c r="A55" s="4">
        <v>2</v>
      </c>
      <c r="B55" s="5">
        <v>52</v>
      </c>
      <c r="C55" s="5" t="s">
        <v>95</v>
      </c>
      <c r="D55" s="5" t="s">
        <v>96</v>
      </c>
      <c r="E55" s="5" t="s">
        <v>560</v>
      </c>
      <c r="F55" s="5" t="s">
        <v>595</v>
      </c>
      <c r="G55" s="5" t="s">
        <v>867</v>
      </c>
      <c r="H55" s="4">
        <v>1872</v>
      </c>
      <c r="I55" s="5" t="s">
        <v>868</v>
      </c>
      <c r="J55" s="5" t="s">
        <v>41</v>
      </c>
      <c r="K55" s="5" t="s">
        <v>869</v>
      </c>
      <c r="L55" s="5" t="s">
        <v>870</v>
      </c>
      <c r="M55" s="5" t="s">
        <v>171</v>
      </c>
      <c r="N55" s="5" t="s">
        <v>871</v>
      </c>
      <c r="O55" s="5" t="s">
        <v>45</v>
      </c>
      <c r="P55" s="5" t="s">
        <v>45</v>
      </c>
      <c r="Q55" s="5" t="s">
        <v>872</v>
      </c>
      <c r="R55" s="5" t="s">
        <v>873</v>
      </c>
      <c r="S55" s="7">
        <v>47.5</v>
      </c>
      <c r="T55" s="5" t="s">
        <v>67</v>
      </c>
      <c r="U55" s="5" t="s">
        <v>874</v>
      </c>
      <c r="V55" s="5" t="s">
        <v>875</v>
      </c>
      <c r="W55" s="5" t="s">
        <v>876</v>
      </c>
      <c r="X55" s="5" t="s">
        <v>877</v>
      </c>
      <c r="Y55" s="5" t="s">
        <v>878</v>
      </c>
      <c r="Z55" s="5"/>
      <c r="AA55" s="5" t="s">
        <v>879</v>
      </c>
      <c r="AB55" s="5" t="s">
        <v>880</v>
      </c>
      <c r="AC55" s="5" t="s">
        <v>164</v>
      </c>
      <c r="AD55" s="5" t="s">
        <v>881</v>
      </c>
      <c r="AE55" s="5">
        <v>1</v>
      </c>
      <c r="AF55" s="5" t="s">
        <v>882</v>
      </c>
      <c r="AG55" s="5">
        <v>1872</v>
      </c>
      <c r="AH55" s="8" t="s">
        <v>3233</v>
      </c>
      <c r="AI55" s="5">
        <v>31735066237383</v>
      </c>
    </row>
    <row r="56" spans="1:35" ht="38.25" x14ac:dyDescent="0.4">
      <c r="A56" s="4">
        <v>2</v>
      </c>
      <c r="B56" s="5">
        <v>53</v>
      </c>
      <c r="C56" s="5" t="s">
        <v>243</v>
      </c>
      <c r="D56" s="5" t="s">
        <v>244</v>
      </c>
      <c r="E56" s="5" t="s">
        <v>560</v>
      </c>
      <c r="F56" s="5" t="s">
        <v>595</v>
      </c>
      <c r="G56" s="5" t="s">
        <v>883</v>
      </c>
      <c r="H56" s="4">
        <v>1873</v>
      </c>
      <c r="I56" s="5" t="s">
        <v>884</v>
      </c>
      <c r="J56" s="5" t="s">
        <v>41</v>
      </c>
      <c r="K56" s="5"/>
      <c r="L56" s="5" t="s">
        <v>885</v>
      </c>
      <c r="M56" s="5" t="s">
        <v>292</v>
      </c>
      <c r="N56" s="5" t="s">
        <v>886</v>
      </c>
      <c r="O56" s="5" t="s">
        <v>83</v>
      </c>
      <c r="P56" s="5" t="s">
        <v>83</v>
      </c>
      <c r="Q56" s="5" t="s">
        <v>887</v>
      </c>
      <c r="R56" s="5" t="s">
        <v>888</v>
      </c>
      <c r="S56" s="7">
        <v>68</v>
      </c>
      <c r="T56" s="5" t="s">
        <v>67</v>
      </c>
      <c r="U56" s="5"/>
      <c r="V56" s="5"/>
      <c r="W56" s="5"/>
      <c r="X56" s="5" t="s">
        <v>889</v>
      </c>
      <c r="Y56" s="5"/>
      <c r="Z56" s="5"/>
      <c r="AA56" s="5" t="s">
        <v>890</v>
      </c>
      <c r="AB56" s="5"/>
      <c r="AC56" s="5" t="s">
        <v>313</v>
      </c>
      <c r="AD56" s="5" t="s">
        <v>891</v>
      </c>
      <c r="AE56" s="5">
        <v>1</v>
      </c>
      <c r="AF56" s="5" t="s">
        <v>892</v>
      </c>
      <c r="AG56" s="5">
        <v>1873</v>
      </c>
      <c r="AH56" s="8" t="s">
        <v>3233</v>
      </c>
      <c r="AI56" s="5">
        <v>31735066266424</v>
      </c>
    </row>
    <row r="57" spans="1:35" ht="63.75" x14ac:dyDescent="0.4">
      <c r="A57" s="4">
        <v>2</v>
      </c>
      <c r="B57" s="5">
        <v>54</v>
      </c>
      <c r="C57" s="5" t="s">
        <v>53</v>
      </c>
      <c r="D57" s="5" t="s">
        <v>893</v>
      </c>
      <c r="E57" s="5" t="s">
        <v>560</v>
      </c>
      <c r="F57" s="5" t="s">
        <v>894</v>
      </c>
      <c r="G57" s="5" t="s">
        <v>895</v>
      </c>
      <c r="H57" s="4">
        <v>1876</v>
      </c>
      <c r="I57" s="5" t="s">
        <v>896</v>
      </c>
      <c r="J57" s="5" t="s">
        <v>41</v>
      </c>
      <c r="K57" s="5" t="s">
        <v>897</v>
      </c>
      <c r="L57" s="5" t="s">
        <v>898</v>
      </c>
      <c r="M57" s="5" t="s">
        <v>259</v>
      </c>
      <c r="N57" s="5" t="s">
        <v>899</v>
      </c>
      <c r="O57" s="5" t="s">
        <v>582</v>
      </c>
      <c r="P57" s="5" t="s">
        <v>583</v>
      </c>
      <c r="Q57" s="5" t="s">
        <v>900</v>
      </c>
      <c r="R57" s="5" t="s">
        <v>901</v>
      </c>
      <c r="S57" s="7">
        <v>108000</v>
      </c>
      <c r="T57" s="5" t="s">
        <v>449</v>
      </c>
      <c r="U57" s="5" t="s">
        <v>902</v>
      </c>
      <c r="V57" s="5" t="s">
        <v>903</v>
      </c>
      <c r="W57" s="5" t="s">
        <v>904</v>
      </c>
      <c r="X57" s="5" t="s">
        <v>905</v>
      </c>
      <c r="Y57" s="5" t="s">
        <v>906</v>
      </c>
      <c r="Z57" s="5"/>
      <c r="AA57" s="5" t="s">
        <v>907</v>
      </c>
      <c r="AB57" s="5" t="s">
        <v>908</v>
      </c>
      <c r="AC57" s="5" t="s">
        <v>50</v>
      </c>
      <c r="AD57" s="5" t="s">
        <v>909</v>
      </c>
      <c r="AE57" s="5">
        <v>1</v>
      </c>
      <c r="AF57" s="5" t="s">
        <v>910</v>
      </c>
      <c r="AG57" s="5">
        <v>1875</v>
      </c>
      <c r="AH57" s="8" t="s">
        <v>3233</v>
      </c>
      <c r="AI57" s="5">
        <v>31735064607785</v>
      </c>
    </row>
    <row r="58" spans="1:35" ht="38.25" x14ac:dyDescent="0.4">
      <c r="A58" s="4">
        <v>2</v>
      </c>
      <c r="B58" s="5">
        <v>55</v>
      </c>
      <c r="C58" s="5" t="s">
        <v>53</v>
      </c>
      <c r="D58" s="5" t="s">
        <v>911</v>
      </c>
      <c r="E58" s="5" t="s">
        <v>560</v>
      </c>
      <c r="F58" s="5" t="s">
        <v>894</v>
      </c>
      <c r="G58" s="5" t="s">
        <v>912</v>
      </c>
      <c r="H58" s="4">
        <v>1877</v>
      </c>
      <c r="I58" s="5" t="s">
        <v>913</v>
      </c>
      <c r="J58" s="5" t="s">
        <v>41</v>
      </c>
      <c r="K58" s="5" t="s">
        <v>914</v>
      </c>
      <c r="L58" s="5" t="s">
        <v>915</v>
      </c>
      <c r="M58" s="5" t="s">
        <v>916</v>
      </c>
      <c r="N58" s="5" t="s">
        <v>917</v>
      </c>
      <c r="O58" s="5" t="s">
        <v>45</v>
      </c>
      <c r="P58" s="5" t="s">
        <v>45</v>
      </c>
      <c r="Q58" s="5" t="s">
        <v>918</v>
      </c>
      <c r="R58" s="5" t="s">
        <v>919</v>
      </c>
      <c r="S58" s="7">
        <v>17</v>
      </c>
      <c r="T58" s="5" t="s">
        <v>634</v>
      </c>
      <c r="U58" s="5"/>
      <c r="V58" s="5" t="s">
        <v>920</v>
      </c>
      <c r="W58" s="5" t="s">
        <v>921</v>
      </c>
      <c r="X58" s="5" t="s">
        <v>775</v>
      </c>
      <c r="Y58" s="5" t="s">
        <v>922</v>
      </c>
      <c r="Z58" s="5"/>
      <c r="AA58" s="5" t="s">
        <v>923</v>
      </c>
      <c r="AB58" s="5" t="s">
        <v>924</v>
      </c>
      <c r="AC58" s="5" t="s">
        <v>50</v>
      </c>
      <c r="AD58" s="5" t="s">
        <v>925</v>
      </c>
      <c r="AE58" s="5">
        <v>1</v>
      </c>
      <c r="AF58" s="5" t="s">
        <v>926</v>
      </c>
      <c r="AG58" s="5">
        <v>1876</v>
      </c>
      <c r="AH58" s="8" t="s">
        <v>3233</v>
      </c>
      <c r="AI58" s="5">
        <v>31735064607520</v>
      </c>
    </row>
    <row r="59" spans="1:35" ht="38.25" x14ac:dyDescent="0.4">
      <c r="A59" s="4">
        <v>2</v>
      </c>
      <c r="B59" s="5">
        <v>56</v>
      </c>
      <c r="C59" s="5" t="s">
        <v>53</v>
      </c>
      <c r="D59" s="5" t="s">
        <v>927</v>
      </c>
      <c r="E59" s="5" t="s">
        <v>560</v>
      </c>
      <c r="F59" s="5" t="s">
        <v>894</v>
      </c>
      <c r="G59" s="5" t="s">
        <v>928</v>
      </c>
      <c r="H59" s="4">
        <v>1879</v>
      </c>
      <c r="I59" s="5" t="s">
        <v>929</v>
      </c>
      <c r="J59" s="5" t="s">
        <v>41</v>
      </c>
      <c r="K59" s="5" t="s">
        <v>930</v>
      </c>
      <c r="L59" s="5" t="s">
        <v>931</v>
      </c>
      <c r="M59" s="5" t="s">
        <v>61</v>
      </c>
      <c r="N59" s="5" t="s">
        <v>932</v>
      </c>
      <c r="O59" s="5" t="s">
        <v>933</v>
      </c>
      <c r="P59" s="5" t="s">
        <v>933</v>
      </c>
      <c r="Q59" s="5" t="s">
        <v>934</v>
      </c>
      <c r="R59" s="5" t="s">
        <v>935</v>
      </c>
      <c r="S59" s="7">
        <v>21</v>
      </c>
      <c r="T59" s="5" t="s">
        <v>67</v>
      </c>
      <c r="U59" s="5" t="s">
        <v>936</v>
      </c>
      <c r="V59" s="5"/>
      <c r="W59" s="5" t="s">
        <v>937</v>
      </c>
      <c r="X59" s="5" t="s">
        <v>938</v>
      </c>
      <c r="Y59" s="5" t="s">
        <v>939</v>
      </c>
      <c r="Z59" s="5"/>
      <c r="AA59" s="5" t="s">
        <v>940</v>
      </c>
      <c r="AB59" s="5"/>
      <c r="AC59" s="5" t="s">
        <v>50</v>
      </c>
      <c r="AD59" s="5" t="s">
        <v>941</v>
      </c>
      <c r="AE59" s="5">
        <v>1</v>
      </c>
      <c r="AF59" s="5" t="s">
        <v>942</v>
      </c>
      <c r="AG59" s="5">
        <v>1879</v>
      </c>
      <c r="AH59" s="8" t="s">
        <v>3233</v>
      </c>
      <c r="AI59" s="5">
        <v>31735066266648</v>
      </c>
    </row>
    <row r="60" spans="1:35" ht="51" x14ac:dyDescent="0.4">
      <c r="A60" s="4">
        <v>2</v>
      </c>
      <c r="B60" s="5">
        <v>57</v>
      </c>
      <c r="C60" s="5" t="s">
        <v>53</v>
      </c>
      <c r="D60" s="5" t="s">
        <v>943</v>
      </c>
      <c r="E60" s="5" t="s">
        <v>560</v>
      </c>
      <c r="F60" s="5" t="s">
        <v>894</v>
      </c>
      <c r="G60" s="5" t="s">
        <v>944</v>
      </c>
      <c r="H60" s="4">
        <v>1882</v>
      </c>
      <c r="I60" s="5" t="s">
        <v>945</v>
      </c>
      <c r="J60" s="5" t="s">
        <v>41</v>
      </c>
      <c r="K60" s="5" t="s">
        <v>946</v>
      </c>
      <c r="L60" s="5" t="s">
        <v>947</v>
      </c>
      <c r="M60" s="5" t="s">
        <v>259</v>
      </c>
      <c r="N60" s="5" t="s">
        <v>948</v>
      </c>
      <c r="O60" s="5" t="s">
        <v>530</v>
      </c>
      <c r="P60" s="5" t="s">
        <v>615</v>
      </c>
      <c r="Q60" s="5" t="s">
        <v>949</v>
      </c>
      <c r="R60" s="5" t="s">
        <v>950</v>
      </c>
      <c r="S60" s="7">
        <v>110000</v>
      </c>
      <c r="T60" s="5" t="s">
        <v>449</v>
      </c>
      <c r="U60" s="5" t="s">
        <v>951</v>
      </c>
      <c r="V60" s="5" t="s">
        <v>952</v>
      </c>
      <c r="W60" s="5" t="s">
        <v>953</v>
      </c>
      <c r="X60" s="5" t="s">
        <v>954</v>
      </c>
      <c r="Y60" s="5" t="s">
        <v>906</v>
      </c>
      <c r="Z60" s="5"/>
      <c r="AA60" s="5" t="s">
        <v>955</v>
      </c>
      <c r="AB60" s="5" t="s">
        <v>956</v>
      </c>
      <c r="AC60" s="5" t="s">
        <v>50</v>
      </c>
      <c r="AD60" s="5" t="s">
        <v>957</v>
      </c>
      <c r="AE60" s="5">
        <v>1</v>
      </c>
      <c r="AF60" s="5" t="s">
        <v>958</v>
      </c>
      <c r="AG60" s="5">
        <v>1881</v>
      </c>
      <c r="AH60" s="8" t="s">
        <v>3233</v>
      </c>
      <c r="AI60" s="5">
        <v>31735064607801</v>
      </c>
    </row>
    <row r="61" spans="1:35" ht="63.75" x14ac:dyDescent="0.4">
      <c r="A61" s="4">
        <v>2</v>
      </c>
      <c r="B61" s="5">
        <v>58</v>
      </c>
      <c r="C61" s="5" t="s">
        <v>95</v>
      </c>
      <c r="D61" s="5" t="s">
        <v>959</v>
      </c>
      <c r="E61" s="5" t="s">
        <v>560</v>
      </c>
      <c r="F61" s="5" t="s">
        <v>894</v>
      </c>
      <c r="G61" s="5" t="s">
        <v>960</v>
      </c>
      <c r="H61" s="4">
        <v>1884</v>
      </c>
      <c r="I61" s="5" t="s">
        <v>961</v>
      </c>
      <c r="J61" s="5" t="s">
        <v>41</v>
      </c>
      <c r="K61" s="5" t="s">
        <v>962</v>
      </c>
      <c r="L61" s="5" t="s">
        <v>963</v>
      </c>
      <c r="M61" s="5" t="s">
        <v>259</v>
      </c>
      <c r="N61" s="5" t="s">
        <v>964</v>
      </c>
      <c r="O61" s="5" t="s">
        <v>261</v>
      </c>
      <c r="P61" s="5" t="s">
        <v>261</v>
      </c>
      <c r="Q61" s="5" t="s">
        <v>965</v>
      </c>
      <c r="R61" s="5" t="s">
        <v>966</v>
      </c>
      <c r="S61" s="7">
        <v>44</v>
      </c>
      <c r="T61" s="5" t="s">
        <v>67</v>
      </c>
      <c r="U61" s="5" t="s">
        <v>967</v>
      </c>
      <c r="V61" s="5" t="s">
        <v>968</v>
      </c>
      <c r="W61" s="5" t="s">
        <v>969</v>
      </c>
      <c r="X61" s="5" t="s">
        <v>970</v>
      </c>
      <c r="Y61" s="5" t="s">
        <v>971</v>
      </c>
      <c r="Z61" s="5"/>
      <c r="AA61" s="5" t="s">
        <v>972</v>
      </c>
      <c r="AB61" s="5" t="s">
        <v>973</v>
      </c>
      <c r="AC61" s="5" t="s">
        <v>50</v>
      </c>
      <c r="AD61" s="5" t="s">
        <v>974</v>
      </c>
      <c r="AE61" s="5">
        <v>1</v>
      </c>
      <c r="AF61" s="5" t="s">
        <v>975</v>
      </c>
      <c r="AG61" s="5">
        <v>1884</v>
      </c>
      <c r="AH61" s="8" t="s">
        <v>3233</v>
      </c>
      <c r="AI61" s="5">
        <v>31735064607751</v>
      </c>
    </row>
    <row r="62" spans="1:35" ht="63.75" x14ac:dyDescent="0.4">
      <c r="A62" s="4">
        <v>2</v>
      </c>
      <c r="B62" s="5">
        <v>59</v>
      </c>
      <c r="C62" s="5" t="s">
        <v>95</v>
      </c>
      <c r="D62" s="5" t="s">
        <v>96</v>
      </c>
      <c r="E62" s="5" t="s">
        <v>560</v>
      </c>
      <c r="F62" s="5" t="s">
        <v>894</v>
      </c>
      <c r="G62" s="5" t="s">
        <v>976</v>
      </c>
      <c r="H62" s="4">
        <v>1884</v>
      </c>
      <c r="I62" s="5" t="s">
        <v>977</v>
      </c>
      <c r="J62" s="5" t="s">
        <v>41</v>
      </c>
      <c r="K62" s="5" t="s">
        <v>978</v>
      </c>
      <c r="L62" s="5" t="s">
        <v>979</v>
      </c>
      <c r="M62" s="5" t="s">
        <v>259</v>
      </c>
      <c r="N62" s="5" t="s">
        <v>706</v>
      </c>
      <c r="O62" s="5" t="s">
        <v>261</v>
      </c>
      <c r="P62" s="5" t="s">
        <v>261</v>
      </c>
      <c r="Q62" s="5" t="s">
        <v>980</v>
      </c>
      <c r="R62" s="5" t="s">
        <v>981</v>
      </c>
      <c r="S62" s="7">
        <v>10</v>
      </c>
      <c r="T62" s="5" t="s">
        <v>67</v>
      </c>
      <c r="U62" s="5" t="s">
        <v>982</v>
      </c>
      <c r="V62" s="5" t="s">
        <v>983</v>
      </c>
      <c r="W62" s="5" t="s">
        <v>984</v>
      </c>
      <c r="X62" s="5" t="s">
        <v>985</v>
      </c>
      <c r="Y62" s="5" t="s">
        <v>986</v>
      </c>
      <c r="Z62" s="5"/>
      <c r="AA62" s="5" t="s">
        <v>987</v>
      </c>
      <c r="AB62" s="5" t="s">
        <v>988</v>
      </c>
      <c r="AC62" s="5" t="s">
        <v>50</v>
      </c>
      <c r="AD62" s="5" t="s">
        <v>989</v>
      </c>
      <c r="AE62" s="5">
        <v>1</v>
      </c>
      <c r="AF62" s="5" t="s">
        <v>990</v>
      </c>
      <c r="AG62" s="5">
        <v>1884</v>
      </c>
      <c r="AH62" s="8" t="s">
        <v>3233</v>
      </c>
      <c r="AI62" s="5">
        <v>31735064607769</v>
      </c>
    </row>
    <row r="63" spans="1:35" ht="38.25" x14ac:dyDescent="0.4">
      <c r="A63" s="4">
        <v>2</v>
      </c>
      <c r="B63" s="5">
        <v>60</v>
      </c>
      <c r="C63" s="5" t="s">
        <v>243</v>
      </c>
      <c r="D63" s="5" t="s">
        <v>244</v>
      </c>
      <c r="E63" s="5" t="s">
        <v>560</v>
      </c>
      <c r="F63" s="5" t="s">
        <v>894</v>
      </c>
      <c r="G63" s="5" t="s">
        <v>991</v>
      </c>
      <c r="H63" s="4">
        <v>1886</v>
      </c>
      <c r="I63" s="5"/>
      <c r="J63" s="5" t="s">
        <v>61</v>
      </c>
      <c r="K63" s="5" t="s">
        <v>992</v>
      </c>
      <c r="L63" s="5" t="s">
        <v>993</v>
      </c>
      <c r="M63" s="5" t="s">
        <v>994</v>
      </c>
      <c r="N63" s="5" t="s">
        <v>995</v>
      </c>
      <c r="O63" s="5" t="s">
        <v>340</v>
      </c>
      <c r="P63" s="5" t="s">
        <v>340</v>
      </c>
      <c r="Q63" s="5" t="s">
        <v>996</v>
      </c>
      <c r="R63" s="5" t="s">
        <v>997</v>
      </c>
      <c r="S63" s="7">
        <v>63.89</v>
      </c>
      <c r="T63" s="5" t="s">
        <v>67</v>
      </c>
      <c r="U63" s="5"/>
      <c r="V63" s="5"/>
      <c r="W63" s="5"/>
      <c r="X63" s="5" t="s">
        <v>998</v>
      </c>
      <c r="Y63" s="5"/>
      <c r="Z63" s="5"/>
      <c r="AA63" s="5" t="s">
        <v>999</v>
      </c>
      <c r="AB63" s="5"/>
      <c r="AC63" s="5" t="s">
        <v>50</v>
      </c>
      <c r="AD63" s="6" t="s">
        <v>1000</v>
      </c>
      <c r="AE63" s="5">
        <v>1</v>
      </c>
      <c r="AF63" s="5" t="s">
        <v>1001</v>
      </c>
      <c r="AG63" s="5">
        <v>1886</v>
      </c>
      <c r="AH63" s="8" t="s">
        <v>3233</v>
      </c>
      <c r="AI63" s="5">
        <v>31735064607413</v>
      </c>
    </row>
    <row r="64" spans="1:35" ht="38.25" x14ac:dyDescent="0.4">
      <c r="A64" s="4">
        <v>2</v>
      </c>
      <c r="B64" s="5">
        <v>61</v>
      </c>
      <c r="C64" s="5" t="s">
        <v>243</v>
      </c>
      <c r="D64" s="5" t="s">
        <v>244</v>
      </c>
      <c r="E64" s="5" t="s">
        <v>560</v>
      </c>
      <c r="F64" s="5" t="s">
        <v>894</v>
      </c>
      <c r="G64" s="5" t="s">
        <v>1002</v>
      </c>
      <c r="H64" s="4">
        <v>1886</v>
      </c>
      <c r="I64" s="5" t="s">
        <v>977</v>
      </c>
      <c r="J64" s="5" t="s">
        <v>41</v>
      </c>
      <c r="K64" s="5" t="s">
        <v>1003</v>
      </c>
      <c r="L64" s="5"/>
      <c r="M64" s="5" t="s">
        <v>259</v>
      </c>
      <c r="N64" s="5" t="s">
        <v>1004</v>
      </c>
      <c r="O64" s="5" t="s">
        <v>45</v>
      </c>
      <c r="P64" s="5" t="s">
        <v>45</v>
      </c>
      <c r="Q64" s="5" t="s">
        <v>1005</v>
      </c>
      <c r="R64" s="5" t="s">
        <v>1006</v>
      </c>
      <c r="S64" s="7">
        <v>10</v>
      </c>
      <c r="T64" s="5" t="s">
        <v>67</v>
      </c>
      <c r="U64" s="5"/>
      <c r="V64" s="5"/>
      <c r="W64" s="5"/>
      <c r="X64" s="5" t="s">
        <v>1007</v>
      </c>
      <c r="Y64" s="5"/>
      <c r="Z64" s="5"/>
      <c r="AA64" s="5" t="s">
        <v>1008</v>
      </c>
      <c r="AB64" s="5" t="s">
        <v>1009</v>
      </c>
      <c r="AC64" s="5" t="s">
        <v>50</v>
      </c>
      <c r="AD64" s="5" t="s">
        <v>1010</v>
      </c>
      <c r="AE64" s="5">
        <v>1</v>
      </c>
      <c r="AF64" s="5" t="s">
        <v>1011</v>
      </c>
      <c r="AG64" s="5">
        <v>1886</v>
      </c>
      <c r="AH64" s="8" t="s">
        <v>3233</v>
      </c>
      <c r="AI64" s="5">
        <v>31735066266275</v>
      </c>
    </row>
    <row r="65" spans="1:35" ht="63.75" x14ac:dyDescent="0.4">
      <c r="A65" s="4">
        <v>2</v>
      </c>
      <c r="B65" s="5">
        <v>62</v>
      </c>
      <c r="C65" s="5" t="s">
        <v>53</v>
      </c>
      <c r="D65" s="5" t="s">
        <v>541</v>
      </c>
      <c r="E65" s="5" t="s">
        <v>560</v>
      </c>
      <c r="F65" s="5" t="s">
        <v>894</v>
      </c>
      <c r="G65" s="5" t="s">
        <v>1012</v>
      </c>
      <c r="H65" s="4">
        <v>1886</v>
      </c>
      <c r="I65" s="5" t="s">
        <v>1013</v>
      </c>
      <c r="J65" s="5" t="s">
        <v>41</v>
      </c>
      <c r="K65" s="5" t="s">
        <v>1014</v>
      </c>
      <c r="L65" s="5" t="s">
        <v>1015</v>
      </c>
      <c r="M65" s="5" t="s">
        <v>292</v>
      </c>
      <c r="N65" s="5" t="s">
        <v>1016</v>
      </c>
      <c r="O65" s="5" t="s">
        <v>530</v>
      </c>
      <c r="P65" s="5" t="s">
        <v>1017</v>
      </c>
      <c r="Q65" s="5" t="s">
        <v>1018</v>
      </c>
      <c r="R65" s="5" t="s">
        <v>1019</v>
      </c>
      <c r="S65" s="7">
        <v>65</v>
      </c>
      <c r="T65" s="5" t="s">
        <v>67</v>
      </c>
      <c r="U65" s="5" t="s">
        <v>1020</v>
      </c>
      <c r="V65" s="5" t="s">
        <v>1021</v>
      </c>
      <c r="W65" s="5" t="s">
        <v>1022</v>
      </c>
      <c r="X65" s="5" t="s">
        <v>1023</v>
      </c>
      <c r="Y65" s="5" t="s">
        <v>1024</v>
      </c>
      <c r="Z65" s="5" t="s">
        <v>1025</v>
      </c>
      <c r="AA65" s="5" t="s">
        <v>1026</v>
      </c>
      <c r="AB65" s="5"/>
      <c r="AC65" s="5" t="s">
        <v>50</v>
      </c>
      <c r="AD65" s="5" t="s">
        <v>1027</v>
      </c>
      <c r="AE65" s="5">
        <v>2</v>
      </c>
      <c r="AF65" s="5" t="s">
        <v>1028</v>
      </c>
      <c r="AG65" s="5" t="s">
        <v>1029</v>
      </c>
      <c r="AH65" s="8" t="s">
        <v>3233</v>
      </c>
      <c r="AI65" s="5">
        <v>31735066267828</v>
      </c>
    </row>
    <row r="66" spans="1:35" ht="51" x14ac:dyDescent="0.4">
      <c r="A66" s="4">
        <v>2</v>
      </c>
      <c r="B66" s="5">
        <v>63</v>
      </c>
      <c r="C66" s="5" t="s">
        <v>53</v>
      </c>
      <c r="D66" s="5" t="s">
        <v>541</v>
      </c>
      <c r="E66" s="5" t="s">
        <v>560</v>
      </c>
      <c r="F66" s="5" t="s">
        <v>894</v>
      </c>
      <c r="G66" s="5" t="s">
        <v>1030</v>
      </c>
      <c r="H66" s="4">
        <v>1887</v>
      </c>
      <c r="I66" s="5" t="s">
        <v>1031</v>
      </c>
      <c r="J66" s="5" t="s">
        <v>41</v>
      </c>
      <c r="K66" s="5" t="s">
        <v>1032</v>
      </c>
      <c r="L66" s="5" t="s">
        <v>1033</v>
      </c>
      <c r="M66" s="5" t="s">
        <v>292</v>
      </c>
      <c r="N66" s="5" t="s">
        <v>1034</v>
      </c>
      <c r="O66" s="5" t="s">
        <v>340</v>
      </c>
      <c r="P66" s="5" t="s">
        <v>340</v>
      </c>
      <c r="Q66" s="5" t="s">
        <v>1035</v>
      </c>
      <c r="R66" s="5" t="s">
        <v>1036</v>
      </c>
      <c r="S66" s="7">
        <v>75</v>
      </c>
      <c r="T66" s="5" t="s">
        <v>67</v>
      </c>
      <c r="U66" s="5" t="s">
        <v>1037</v>
      </c>
      <c r="V66" s="5" t="s">
        <v>1038</v>
      </c>
      <c r="W66" s="5" t="s">
        <v>1039</v>
      </c>
      <c r="X66" s="5" t="s">
        <v>71</v>
      </c>
      <c r="Y66" s="5" t="s">
        <v>1040</v>
      </c>
      <c r="Z66" s="5"/>
      <c r="AA66" s="5" t="s">
        <v>1041</v>
      </c>
      <c r="AB66" s="5"/>
      <c r="AC66" s="5" t="s">
        <v>164</v>
      </c>
      <c r="AD66" s="6" t="s">
        <v>1042</v>
      </c>
      <c r="AE66" s="5">
        <v>1</v>
      </c>
      <c r="AF66" s="5" t="s">
        <v>1043</v>
      </c>
      <c r="AG66" s="5">
        <v>1887</v>
      </c>
      <c r="AH66" s="8" t="s">
        <v>3233</v>
      </c>
      <c r="AI66" s="5">
        <v>31735064607470</v>
      </c>
    </row>
    <row r="67" spans="1:35" ht="51" x14ac:dyDescent="0.4">
      <c r="A67" s="4">
        <v>2</v>
      </c>
      <c r="B67" s="5">
        <v>64</v>
      </c>
      <c r="C67" s="5" t="s">
        <v>95</v>
      </c>
      <c r="D67" s="5" t="s">
        <v>96</v>
      </c>
      <c r="E67" s="5" t="s">
        <v>560</v>
      </c>
      <c r="F67" s="5" t="s">
        <v>894</v>
      </c>
      <c r="G67" s="5" t="s">
        <v>1044</v>
      </c>
      <c r="H67" s="4">
        <v>1887</v>
      </c>
      <c r="I67" s="5" t="s">
        <v>1045</v>
      </c>
      <c r="J67" s="5" t="s">
        <v>41</v>
      </c>
      <c r="K67" s="5" t="s">
        <v>1046</v>
      </c>
      <c r="L67" s="5" t="s">
        <v>1047</v>
      </c>
      <c r="M67" s="5" t="s">
        <v>292</v>
      </c>
      <c r="N67" s="5" t="s">
        <v>1048</v>
      </c>
      <c r="O67" s="5" t="s">
        <v>83</v>
      </c>
      <c r="P67" s="5" t="s">
        <v>248</v>
      </c>
      <c r="Q67" s="5" t="s">
        <v>1049</v>
      </c>
      <c r="R67" s="5" t="s">
        <v>1050</v>
      </c>
      <c r="S67" s="7">
        <v>200</v>
      </c>
      <c r="T67" s="5" t="s">
        <v>67</v>
      </c>
      <c r="U67" s="5" t="s">
        <v>1051</v>
      </c>
      <c r="V67" s="5" t="s">
        <v>1052</v>
      </c>
      <c r="W67" s="5" t="s">
        <v>1053</v>
      </c>
      <c r="X67" s="5" t="s">
        <v>1054</v>
      </c>
      <c r="Y67" s="5" t="s">
        <v>1055</v>
      </c>
      <c r="Z67" s="5"/>
      <c r="AA67" s="5" t="s">
        <v>1056</v>
      </c>
      <c r="AB67" s="5" t="s">
        <v>880</v>
      </c>
      <c r="AC67" s="5" t="s">
        <v>50</v>
      </c>
      <c r="AD67" s="5" t="s">
        <v>1057</v>
      </c>
      <c r="AE67" s="5">
        <v>1</v>
      </c>
      <c r="AF67" s="5" t="s">
        <v>1058</v>
      </c>
      <c r="AG67" s="5">
        <v>1887</v>
      </c>
      <c r="AH67" s="8" t="s">
        <v>3233</v>
      </c>
      <c r="AI67" s="5">
        <v>31735066267893</v>
      </c>
    </row>
    <row r="68" spans="1:35" ht="38.25" x14ac:dyDescent="0.4">
      <c r="A68" s="4">
        <v>2</v>
      </c>
      <c r="B68" s="5">
        <v>65</v>
      </c>
      <c r="C68" s="5" t="s">
        <v>272</v>
      </c>
      <c r="D68" s="5" t="s">
        <v>273</v>
      </c>
      <c r="E68" s="5" t="s">
        <v>560</v>
      </c>
      <c r="F68" s="5" t="s">
        <v>894</v>
      </c>
      <c r="G68" s="5" t="s">
        <v>1059</v>
      </c>
      <c r="H68" s="4">
        <v>1887</v>
      </c>
      <c r="I68" s="5" t="s">
        <v>1060</v>
      </c>
      <c r="J68" s="5" t="s">
        <v>41</v>
      </c>
      <c r="K68" s="5" t="s">
        <v>1061</v>
      </c>
      <c r="L68" s="5" t="s">
        <v>1062</v>
      </c>
      <c r="M68" s="5" t="s">
        <v>61</v>
      </c>
      <c r="N68" s="5"/>
      <c r="O68" s="5" t="s">
        <v>433</v>
      </c>
      <c r="P68" s="5" t="s">
        <v>1063</v>
      </c>
      <c r="Q68" s="5" t="s">
        <v>1064</v>
      </c>
      <c r="R68" s="5" t="s">
        <v>1065</v>
      </c>
      <c r="S68" s="7">
        <v>1</v>
      </c>
      <c r="T68" s="5" t="s">
        <v>280</v>
      </c>
      <c r="U68" s="5"/>
      <c r="V68" s="5"/>
      <c r="W68" s="5"/>
      <c r="X68" s="5" t="s">
        <v>361</v>
      </c>
      <c r="Y68" s="5"/>
      <c r="Z68" s="5" t="s">
        <v>1066</v>
      </c>
      <c r="AA68" s="5" t="s">
        <v>1067</v>
      </c>
      <c r="AB68" s="5"/>
      <c r="AC68" s="5" t="s">
        <v>50</v>
      </c>
      <c r="AD68" s="6" t="s">
        <v>1068</v>
      </c>
      <c r="AE68" s="5">
        <v>2</v>
      </c>
      <c r="AF68" s="5" t="s">
        <v>1069</v>
      </c>
      <c r="AG68" s="5">
        <v>1887</v>
      </c>
      <c r="AH68" s="8" t="s">
        <v>3233</v>
      </c>
      <c r="AI68" s="5">
        <v>31735066237698</v>
      </c>
    </row>
    <row r="69" spans="1:35" ht="89.25" x14ac:dyDescent="0.4">
      <c r="A69" s="4">
        <v>2</v>
      </c>
      <c r="B69" s="5">
        <v>66</v>
      </c>
      <c r="C69" s="5" t="s">
        <v>95</v>
      </c>
      <c r="D69" s="5" t="s">
        <v>96</v>
      </c>
      <c r="E69" s="5" t="s">
        <v>560</v>
      </c>
      <c r="F69" s="5" t="s">
        <v>894</v>
      </c>
      <c r="G69" s="5" t="s">
        <v>1070</v>
      </c>
      <c r="H69" s="4">
        <v>1888</v>
      </c>
      <c r="I69" s="5" t="s">
        <v>1071</v>
      </c>
      <c r="J69" s="5" t="s">
        <v>41</v>
      </c>
      <c r="K69" s="5" t="s">
        <v>1072</v>
      </c>
      <c r="L69" s="5" t="s">
        <v>1073</v>
      </c>
      <c r="M69" s="5" t="s">
        <v>171</v>
      </c>
      <c r="N69" s="5" t="s">
        <v>1074</v>
      </c>
      <c r="O69" s="5" t="s">
        <v>45</v>
      </c>
      <c r="P69" s="5" t="s">
        <v>45</v>
      </c>
      <c r="Q69" s="5" t="s">
        <v>1075</v>
      </c>
      <c r="R69" s="5" t="s">
        <v>1076</v>
      </c>
      <c r="S69" s="7">
        <v>36</v>
      </c>
      <c r="T69" s="5" t="s">
        <v>67</v>
      </c>
      <c r="U69" s="5" t="s">
        <v>1077</v>
      </c>
      <c r="V69" s="5" t="s">
        <v>1078</v>
      </c>
      <c r="W69" s="5" t="s">
        <v>1079</v>
      </c>
      <c r="X69" s="5" t="s">
        <v>1080</v>
      </c>
      <c r="Y69" s="5" t="s">
        <v>1081</v>
      </c>
      <c r="Z69" s="5" t="s">
        <v>1082</v>
      </c>
      <c r="AA69" s="5" t="s">
        <v>1083</v>
      </c>
      <c r="AB69" s="5" t="s">
        <v>1084</v>
      </c>
      <c r="AC69" s="5" t="s">
        <v>50</v>
      </c>
      <c r="AD69" s="5" t="s">
        <v>1085</v>
      </c>
      <c r="AE69" s="5">
        <v>2</v>
      </c>
      <c r="AF69" s="5" t="s">
        <v>1086</v>
      </c>
      <c r="AG69" s="5" t="s">
        <v>1087</v>
      </c>
      <c r="AH69" s="8" t="s">
        <v>3233</v>
      </c>
      <c r="AI69" s="5">
        <v>31735066266382</v>
      </c>
    </row>
    <row r="70" spans="1:35" ht="51" x14ac:dyDescent="0.4">
      <c r="A70" s="4">
        <v>2</v>
      </c>
      <c r="B70" s="5">
        <v>67</v>
      </c>
      <c r="C70" s="5" t="s">
        <v>243</v>
      </c>
      <c r="D70" s="5" t="s">
        <v>244</v>
      </c>
      <c r="E70" s="5" t="s">
        <v>560</v>
      </c>
      <c r="F70" s="5" t="s">
        <v>894</v>
      </c>
      <c r="G70" s="5" t="s">
        <v>1088</v>
      </c>
      <c r="H70" s="4">
        <v>1887</v>
      </c>
      <c r="I70" s="5" t="s">
        <v>961</v>
      </c>
      <c r="J70" s="5" t="s">
        <v>41</v>
      </c>
      <c r="K70" s="5" t="s">
        <v>1089</v>
      </c>
      <c r="L70" s="5" t="s">
        <v>1090</v>
      </c>
      <c r="M70" s="5" t="s">
        <v>259</v>
      </c>
      <c r="N70" s="5" t="s">
        <v>1091</v>
      </c>
      <c r="O70" s="5" t="s">
        <v>45</v>
      </c>
      <c r="P70" s="5" t="s">
        <v>45</v>
      </c>
      <c r="Q70" s="5" t="s">
        <v>1092</v>
      </c>
      <c r="R70" s="5" t="s">
        <v>1093</v>
      </c>
      <c r="S70" s="7">
        <v>44</v>
      </c>
      <c r="T70" s="5" t="s">
        <v>67</v>
      </c>
      <c r="U70" s="5"/>
      <c r="V70" s="5"/>
      <c r="W70" s="5"/>
      <c r="X70" s="5" t="s">
        <v>1094</v>
      </c>
      <c r="Y70" s="5"/>
      <c r="Z70" s="5"/>
      <c r="AA70" s="5" t="s">
        <v>1095</v>
      </c>
      <c r="AB70" s="5" t="s">
        <v>1096</v>
      </c>
      <c r="AC70" s="5" t="s">
        <v>50</v>
      </c>
      <c r="AD70" s="5" t="s">
        <v>1097</v>
      </c>
      <c r="AE70" s="5">
        <v>1</v>
      </c>
      <c r="AF70" s="5" t="s">
        <v>1098</v>
      </c>
      <c r="AG70" s="5">
        <v>1888</v>
      </c>
      <c r="AH70" s="8" t="s">
        <v>3233</v>
      </c>
      <c r="AI70" s="5">
        <v>31735064607876</v>
      </c>
    </row>
    <row r="71" spans="1:35" ht="38.25" x14ac:dyDescent="0.4">
      <c r="A71" s="4">
        <v>2</v>
      </c>
      <c r="B71" s="5">
        <v>68</v>
      </c>
      <c r="C71" s="5" t="s">
        <v>243</v>
      </c>
      <c r="D71" s="5" t="s">
        <v>244</v>
      </c>
      <c r="E71" s="5" t="s">
        <v>560</v>
      </c>
      <c r="F71" s="5" t="s">
        <v>894</v>
      </c>
      <c r="G71" s="5" t="s">
        <v>1099</v>
      </c>
      <c r="H71" s="4">
        <v>1888</v>
      </c>
      <c r="I71" s="5" t="s">
        <v>1045</v>
      </c>
      <c r="J71" s="5" t="s">
        <v>41</v>
      </c>
      <c r="K71" s="5" t="s">
        <v>1100</v>
      </c>
      <c r="L71" s="5" t="s">
        <v>1047</v>
      </c>
      <c r="M71" s="5" t="s">
        <v>292</v>
      </c>
      <c r="N71" s="5" t="s">
        <v>1101</v>
      </c>
      <c r="O71" s="5" t="s">
        <v>83</v>
      </c>
      <c r="P71" s="5" t="s">
        <v>248</v>
      </c>
      <c r="Q71" s="5" t="s">
        <v>1102</v>
      </c>
      <c r="R71" s="5" t="s">
        <v>1103</v>
      </c>
      <c r="S71" s="7">
        <v>302</v>
      </c>
      <c r="T71" s="5" t="s">
        <v>67</v>
      </c>
      <c r="U71" s="5"/>
      <c r="V71" s="5"/>
      <c r="W71" s="5"/>
      <c r="X71" s="5" t="s">
        <v>1104</v>
      </c>
      <c r="Y71" s="5"/>
      <c r="Z71" s="5"/>
      <c r="AA71" s="5" t="s">
        <v>1105</v>
      </c>
      <c r="AB71" s="5"/>
      <c r="AC71" s="5" t="s">
        <v>50</v>
      </c>
      <c r="AD71" s="5" t="s">
        <v>1106</v>
      </c>
      <c r="AE71" s="5">
        <v>1</v>
      </c>
      <c r="AF71" s="5" t="s">
        <v>1058</v>
      </c>
      <c r="AG71" s="5">
        <v>1888</v>
      </c>
      <c r="AH71" s="8" t="s">
        <v>3233</v>
      </c>
      <c r="AI71" s="5">
        <v>31735066266416</v>
      </c>
    </row>
    <row r="72" spans="1:35" ht="51" x14ac:dyDescent="0.4">
      <c r="A72" s="4">
        <v>2</v>
      </c>
      <c r="B72" s="5">
        <v>69</v>
      </c>
      <c r="C72" s="5" t="s">
        <v>53</v>
      </c>
      <c r="D72" s="5" t="s">
        <v>541</v>
      </c>
      <c r="E72" s="5" t="s">
        <v>560</v>
      </c>
      <c r="F72" s="5" t="s">
        <v>894</v>
      </c>
      <c r="G72" s="5" t="s">
        <v>1107</v>
      </c>
      <c r="H72" s="4">
        <v>1888</v>
      </c>
      <c r="I72" s="5" t="s">
        <v>1045</v>
      </c>
      <c r="J72" s="5" t="s">
        <v>41</v>
      </c>
      <c r="K72" s="5" t="s">
        <v>1108</v>
      </c>
      <c r="L72" s="5" t="s">
        <v>1047</v>
      </c>
      <c r="M72" s="5" t="s">
        <v>292</v>
      </c>
      <c r="N72" s="5" t="s">
        <v>1048</v>
      </c>
      <c r="O72" s="5" t="s">
        <v>83</v>
      </c>
      <c r="P72" s="5" t="s">
        <v>248</v>
      </c>
      <c r="Q72" s="5" t="s">
        <v>1109</v>
      </c>
      <c r="R72" s="5" t="s">
        <v>1110</v>
      </c>
      <c r="S72" s="7">
        <v>98</v>
      </c>
      <c r="T72" s="5" t="s">
        <v>67</v>
      </c>
      <c r="U72" s="5" t="s">
        <v>1051</v>
      </c>
      <c r="V72" s="5" t="s">
        <v>1111</v>
      </c>
      <c r="W72" s="5" t="s">
        <v>1053</v>
      </c>
      <c r="X72" s="5" t="s">
        <v>1112</v>
      </c>
      <c r="Y72" s="5" t="s">
        <v>1113</v>
      </c>
      <c r="Z72" s="5" t="s">
        <v>1114</v>
      </c>
      <c r="AA72" s="5" t="s">
        <v>1115</v>
      </c>
      <c r="AB72" s="5"/>
      <c r="AC72" s="5" t="s">
        <v>50</v>
      </c>
      <c r="AD72" s="5" t="s">
        <v>1116</v>
      </c>
      <c r="AE72" s="5">
        <v>1</v>
      </c>
      <c r="AF72" s="5" t="s">
        <v>1058</v>
      </c>
      <c r="AG72" s="5">
        <v>1888</v>
      </c>
      <c r="AH72" s="8" t="s">
        <v>3233</v>
      </c>
      <c r="AI72" s="5">
        <v>31735066267901</v>
      </c>
    </row>
    <row r="73" spans="1:35" ht="38.25" x14ac:dyDescent="0.4">
      <c r="A73" s="4">
        <v>2</v>
      </c>
      <c r="B73" s="5">
        <v>70</v>
      </c>
      <c r="C73" s="5" t="s">
        <v>53</v>
      </c>
      <c r="D73" s="5" t="s">
        <v>541</v>
      </c>
      <c r="E73" s="5" t="s">
        <v>560</v>
      </c>
      <c r="F73" s="5" t="s">
        <v>894</v>
      </c>
      <c r="G73" s="5" t="s">
        <v>1117</v>
      </c>
      <c r="H73" s="4">
        <v>1889</v>
      </c>
      <c r="I73" s="5" t="s">
        <v>1118</v>
      </c>
      <c r="J73" s="5" t="s">
        <v>41</v>
      </c>
      <c r="K73" s="5" t="s">
        <v>1119</v>
      </c>
      <c r="L73" s="5" t="s">
        <v>1120</v>
      </c>
      <c r="M73" s="5" t="s">
        <v>292</v>
      </c>
      <c r="N73" s="5" t="s">
        <v>1121</v>
      </c>
      <c r="O73" s="5" t="s">
        <v>1122</v>
      </c>
      <c r="P73" s="5" t="s">
        <v>1122</v>
      </c>
      <c r="Q73" s="5" t="s">
        <v>1123</v>
      </c>
      <c r="R73" s="5" t="s">
        <v>1124</v>
      </c>
      <c r="S73" s="7">
        <v>10</v>
      </c>
      <c r="T73" s="5" t="s">
        <v>67</v>
      </c>
      <c r="U73" s="5" t="s">
        <v>1125</v>
      </c>
      <c r="V73" s="5" t="s">
        <v>1126</v>
      </c>
      <c r="W73" s="5" t="s">
        <v>1127</v>
      </c>
      <c r="X73" s="5" t="s">
        <v>71</v>
      </c>
      <c r="Y73" s="5" t="s">
        <v>1128</v>
      </c>
      <c r="Z73" s="5"/>
      <c r="AA73" s="5" t="s">
        <v>1129</v>
      </c>
      <c r="AB73" s="5"/>
      <c r="AC73" s="5" t="s">
        <v>164</v>
      </c>
      <c r="AD73" s="6" t="s">
        <v>1130</v>
      </c>
      <c r="AE73" s="5">
        <v>1</v>
      </c>
      <c r="AF73" s="5" t="s">
        <v>1131</v>
      </c>
      <c r="AG73" s="5">
        <v>1889</v>
      </c>
      <c r="AH73" s="8" t="s">
        <v>3233</v>
      </c>
      <c r="AI73" s="5">
        <v>31735066267620</v>
      </c>
    </row>
    <row r="74" spans="1:35" ht="63.75" x14ac:dyDescent="0.4">
      <c r="A74" s="4">
        <v>2</v>
      </c>
      <c r="B74" s="5" t="s">
        <v>1132</v>
      </c>
      <c r="C74" s="5" t="s">
        <v>53</v>
      </c>
      <c r="D74" s="5" t="s">
        <v>541</v>
      </c>
      <c r="E74" s="5" t="s">
        <v>560</v>
      </c>
      <c r="F74" s="5" t="s">
        <v>894</v>
      </c>
      <c r="G74" s="5" t="s">
        <v>1133</v>
      </c>
      <c r="H74" s="4">
        <v>1889</v>
      </c>
      <c r="I74" s="5" t="s">
        <v>1134</v>
      </c>
      <c r="J74" s="5" t="s">
        <v>41</v>
      </c>
      <c r="K74" s="5" t="s">
        <v>1135</v>
      </c>
      <c r="L74" s="5" t="s">
        <v>1136</v>
      </c>
      <c r="M74" s="5" t="s">
        <v>292</v>
      </c>
      <c r="N74" s="5" t="s">
        <v>1137</v>
      </c>
      <c r="O74" s="5" t="s">
        <v>83</v>
      </c>
      <c r="P74" s="5" t="s">
        <v>248</v>
      </c>
      <c r="Q74" s="5" t="s">
        <v>1138</v>
      </c>
      <c r="R74" s="5" t="s">
        <v>1139</v>
      </c>
      <c r="S74" s="7">
        <v>30</v>
      </c>
      <c r="T74" s="5" t="s">
        <v>67</v>
      </c>
      <c r="U74" s="5" t="s">
        <v>1140</v>
      </c>
      <c r="V74" s="5"/>
      <c r="W74" s="5" t="s">
        <v>1141</v>
      </c>
      <c r="X74" s="5" t="s">
        <v>1142</v>
      </c>
      <c r="Y74" s="5" t="s">
        <v>1143</v>
      </c>
      <c r="Z74" s="5" t="s">
        <v>1144</v>
      </c>
      <c r="AA74" s="5" t="s">
        <v>1145</v>
      </c>
      <c r="AB74" s="5"/>
      <c r="AC74" s="5" t="s">
        <v>50</v>
      </c>
      <c r="AD74" s="5" t="s">
        <v>1146</v>
      </c>
      <c r="AE74" s="5">
        <v>1</v>
      </c>
      <c r="AF74" s="5" t="s">
        <v>1147</v>
      </c>
      <c r="AG74" s="5" t="s">
        <v>1148</v>
      </c>
      <c r="AH74" s="8" t="s">
        <v>3233</v>
      </c>
      <c r="AI74" s="5">
        <v>31735068223290</v>
      </c>
    </row>
    <row r="75" spans="1:35" ht="38.25" x14ac:dyDescent="0.4">
      <c r="A75" s="4">
        <v>2</v>
      </c>
      <c r="B75" s="5" t="s">
        <v>1149</v>
      </c>
      <c r="C75" s="5" t="s">
        <v>53</v>
      </c>
      <c r="D75" s="5" t="s">
        <v>541</v>
      </c>
      <c r="E75" s="5" t="s">
        <v>560</v>
      </c>
      <c r="F75" s="5" t="s">
        <v>894</v>
      </c>
      <c r="G75" s="5" t="s">
        <v>1150</v>
      </c>
      <c r="H75" s="4">
        <v>1889</v>
      </c>
      <c r="I75" s="5" t="s">
        <v>1151</v>
      </c>
      <c r="J75" s="5" t="s">
        <v>41</v>
      </c>
      <c r="K75" s="5" t="s">
        <v>1152</v>
      </c>
      <c r="L75" s="5" t="s">
        <v>1153</v>
      </c>
      <c r="M75" s="5" t="s">
        <v>292</v>
      </c>
      <c r="N75" s="5" t="s">
        <v>1154</v>
      </c>
      <c r="O75" s="5" t="s">
        <v>83</v>
      </c>
      <c r="P75" s="5" t="s">
        <v>248</v>
      </c>
      <c r="Q75" s="5" t="s">
        <v>1155</v>
      </c>
      <c r="R75" s="5" t="s">
        <v>1156</v>
      </c>
      <c r="S75" s="7">
        <v>14</v>
      </c>
      <c r="T75" s="5" t="s">
        <v>67</v>
      </c>
      <c r="U75" s="5" t="s">
        <v>1157</v>
      </c>
      <c r="V75" s="5" t="s">
        <v>1158</v>
      </c>
      <c r="W75" s="5" t="s">
        <v>1159</v>
      </c>
      <c r="X75" s="5" t="s">
        <v>1160</v>
      </c>
      <c r="Y75" s="5" t="s">
        <v>1161</v>
      </c>
      <c r="Z75" s="5" t="s">
        <v>1162</v>
      </c>
      <c r="AA75" s="5" t="s">
        <v>1163</v>
      </c>
      <c r="AB75" s="5"/>
      <c r="AC75" s="5" t="s">
        <v>50</v>
      </c>
      <c r="AD75" s="5" t="s">
        <v>1164</v>
      </c>
      <c r="AE75" s="5">
        <v>1</v>
      </c>
      <c r="AF75" s="5" t="s">
        <v>1165</v>
      </c>
      <c r="AG75" s="5" t="s">
        <v>1166</v>
      </c>
      <c r="AH75" s="8" t="s">
        <v>3233</v>
      </c>
      <c r="AI75" s="5">
        <v>31735068223308</v>
      </c>
    </row>
    <row r="76" spans="1:35" ht="63.75" x14ac:dyDescent="0.4">
      <c r="A76" s="4">
        <v>2</v>
      </c>
      <c r="B76" s="5">
        <v>71</v>
      </c>
      <c r="C76" s="5" t="s">
        <v>53</v>
      </c>
      <c r="D76" s="5" t="s">
        <v>541</v>
      </c>
      <c r="E76" s="5" t="s">
        <v>560</v>
      </c>
      <c r="F76" s="5" t="s">
        <v>595</v>
      </c>
      <c r="G76" s="5" t="s">
        <v>1167</v>
      </c>
      <c r="H76" s="4">
        <v>1870</v>
      </c>
      <c r="I76" s="5" t="s">
        <v>1168</v>
      </c>
      <c r="J76" s="5" t="s">
        <v>41</v>
      </c>
      <c r="K76" s="5" t="s">
        <v>1169</v>
      </c>
      <c r="L76" s="5" t="s">
        <v>1170</v>
      </c>
      <c r="M76" s="5" t="s">
        <v>292</v>
      </c>
      <c r="N76" s="5" t="s">
        <v>1171</v>
      </c>
      <c r="O76" s="5" t="s">
        <v>83</v>
      </c>
      <c r="P76" s="5" t="s">
        <v>248</v>
      </c>
      <c r="Q76" s="5" t="s">
        <v>1172</v>
      </c>
      <c r="R76" s="5" t="s">
        <v>1173</v>
      </c>
      <c r="S76" s="7">
        <v>68</v>
      </c>
      <c r="T76" s="5" t="s">
        <v>67</v>
      </c>
      <c r="U76" s="5" t="s">
        <v>1174</v>
      </c>
      <c r="V76" s="5" t="s">
        <v>1175</v>
      </c>
      <c r="W76" s="5" t="s">
        <v>1176</v>
      </c>
      <c r="X76" s="5" t="s">
        <v>1177</v>
      </c>
      <c r="Y76" s="5" t="s">
        <v>1178</v>
      </c>
      <c r="Z76" s="5"/>
      <c r="AA76" s="5" t="s">
        <v>1179</v>
      </c>
      <c r="AB76" s="5" t="s">
        <v>1180</v>
      </c>
      <c r="AC76" s="5" t="s">
        <v>50</v>
      </c>
      <c r="AD76" s="5" t="s">
        <v>1181</v>
      </c>
      <c r="AE76" s="5">
        <v>1</v>
      </c>
      <c r="AF76" s="5" t="s">
        <v>1182</v>
      </c>
      <c r="AG76" s="5">
        <v>1890</v>
      </c>
      <c r="AH76" s="8" t="s">
        <v>3233</v>
      </c>
      <c r="AI76" s="5">
        <v>31735064607488</v>
      </c>
    </row>
    <row r="77" spans="1:35" ht="38.25" x14ac:dyDescent="0.4">
      <c r="A77" s="4">
        <v>2</v>
      </c>
      <c r="B77" s="5">
        <v>72</v>
      </c>
      <c r="C77" s="5" t="s">
        <v>53</v>
      </c>
      <c r="D77" s="5" t="s">
        <v>541</v>
      </c>
      <c r="E77" s="5" t="s">
        <v>560</v>
      </c>
      <c r="F77" s="5" t="s">
        <v>894</v>
      </c>
      <c r="G77" s="5" t="s">
        <v>1183</v>
      </c>
      <c r="H77" s="4">
        <v>1890</v>
      </c>
      <c r="I77" s="5" t="s">
        <v>1184</v>
      </c>
      <c r="J77" s="5" t="s">
        <v>41</v>
      </c>
      <c r="K77" s="5" t="s">
        <v>1185</v>
      </c>
      <c r="L77" s="5" t="s">
        <v>1186</v>
      </c>
      <c r="M77" s="5" t="s">
        <v>61</v>
      </c>
      <c r="N77" s="5" t="s">
        <v>1187</v>
      </c>
      <c r="O77" s="5" t="s">
        <v>121</v>
      </c>
      <c r="P77" s="5" t="s">
        <v>121</v>
      </c>
      <c r="Q77" s="5" t="s">
        <v>1188</v>
      </c>
      <c r="R77" s="5" t="s">
        <v>1189</v>
      </c>
      <c r="S77" s="7">
        <v>4</v>
      </c>
      <c r="T77" s="5" t="s">
        <v>634</v>
      </c>
      <c r="U77" s="5" t="s">
        <v>1190</v>
      </c>
      <c r="V77" s="5" t="s">
        <v>1191</v>
      </c>
      <c r="W77" s="5" t="s">
        <v>1192</v>
      </c>
      <c r="X77" s="5" t="s">
        <v>71</v>
      </c>
      <c r="Y77" s="5" t="s">
        <v>1193</v>
      </c>
      <c r="Z77" s="5"/>
      <c r="AA77" s="5" t="s">
        <v>1194</v>
      </c>
      <c r="AB77" s="5"/>
      <c r="AC77" s="5" t="s">
        <v>164</v>
      </c>
      <c r="AD77" s="6" t="s">
        <v>1195</v>
      </c>
      <c r="AE77" s="5">
        <v>1</v>
      </c>
      <c r="AF77" s="5" t="s">
        <v>1196</v>
      </c>
      <c r="AG77" s="5">
        <v>1890</v>
      </c>
      <c r="AH77" s="8" t="s">
        <v>3233</v>
      </c>
      <c r="AI77" s="5">
        <v>31735066266309</v>
      </c>
    </row>
    <row r="78" spans="1:35" ht="140.25" x14ac:dyDescent="0.4">
      <c r="A78" s="4">
        <v>2</v>
      </c>
      <c r="B78" s="5">
        <v>73</v>
      </c>
      <c r="C78" s="5" t="s">
        <v>1197</v>
      </c>
      <c r="D78" s="5" t="s">
        <v>1197</v>
      </c>
      <c r="E78" s="5" t="s">
        <v>560</v>
      </c>
      <c r="F78" s="5" t="s">
        <v>894</v>
      </c>
      <c r="G78" s="5" t="s">
        <v>1198</v>
      </c>
      <c r="H78" s="4">
        <v>1890</v>
      </c>
      <c r="I78" s="5" t="s">
        <v>1199</v>
      </c>
      <c r="J78" s="5" t="s">
        <v>429</v>
      </c>
      <c r="K78" s="5" t="s">
        <v>1200</v>
      </c>
      <c r="L78" s="5" t="s">
        <v>1201</v>
      </c>
      <c r="M78" s="5" t="s">
        <v>81</v>
      </c>
      <c r="N78" s="5" t="s">
        <v>1202</v>
      </c>
      <c r="O78" s="5" t="s">
        <v>45</v>
      </c>
      <c r="P78" s="5" t="s">
        <v>45</v>
      </c>
      <c r="Q78" s="5" t="s">
        <v>1203</v>
      </c>
      <c r="R78" s="5" t="s">
        <v>1204</v>
      </c>
      <c r="S78" s="7"/>
      <c r="T78" s="5"/>
      <c r="U78" s="5"/>
      <c r="V78" s="5"/>
      <c r="W78" s="5"/>
      <c r="X78" s="5" t="s">
        <v>1205</v>
      </c>
      <c r="Y78" s="5"/>
      <c r="Z78" s="5" t="s">
        <v>1206</v>
      </c>
      <c r="AA78" s="5" t="s">
        <v>1207</v>
      </c>
      <c r="AB78" s="5" t="s">
        <v>1208</v>
      </c>
      <c r="AC78" s="5" t="s">
        <v>50</v>
      </c>
      <c r="AD78" s="5" t="s">
        <v>1209</v>
      </c>
      <c r="AE78" s="5">
        <v>8</v>
      </c>
      <c r="AF78" s="5" t="s">
        <v>1210</v>
      </c>
      <c r="AG78" s="5" t="s">
        <v>1211</v>
      </c>
      <c r="AH78" s="8" t="s">
        <v>3233</v>
      </c>
      <c r="AI78" s="5">
        <v>31735066237656</v>
      </c>
    </row>
    <row r="79" spans="1:35" ht="165.75" x14ac:dyDescent="0.4">
      <c r="A79" s="4">
        <v>2</v>
      </c>
      <c r="B79" s="5">
        <v>74</v>
      </c>
      <c r="C79" s="5" t="s">
        <v>380</v>
      </c>
      <c r="D79" s="5" t="s">
        <v>381</v>
      </c>
      <c r="E79" s="5" t="s">
        <v>560</v>
      </c>
      <c r="F79" s="5" t="s">
        <v>894</v>
      </c>
      <c r="G79" s="5" t="s">
        <v>1212</v>
      </c>
      <c r="H79" s="4">
        <v>1891</v>
      </c>
      <c r="I79" s="5" t="s">
        <v>1213</v>
      </c>
      <c r="J79" s="5" t="s">
        <v>41</v>
      </c>
      <c r="K79" s="5" t="s">
        <v>1214</v>
      </c>
      <c r="L79" s="5" t="s">
        <v>1215</v>
      </c>
      <c r="M79" s="5" t="s">
        <v>259</v>
      </c>
      <c r="N79" s="5" t="s">
        <v>1216</v>
      </c>
      <c r="O79" s="5" t="s">
        <v>45</v>
      </c>
      <c r="P79" s="5" t="s">
        <v>1217</v>
      </c>
      <c r="Q79" s="5" t="s">
        <v>1218</v>
      </c>
      <c r="R79" s="5"/>
      <c r="S79" s="7"/>
      <c r="T79" s="5"/>
      <c r="U79" s="5"/>
      <c r="V79" s="5" t="s">
        <v>1219</v>
      </c>
      <c r="W79" s="5" t="s">
        <v>1220</v>
      </c>
      <c r="X79" s="5" t="s">
        <v>1221</v>
      </c>
      <c r="Y79" s="5"/>
      <c r="Z79" s="5"/>
      <c r="AA79" s="5" t="s">
        <v>1222</v>
      </c>
      <c r="AB79" s="5" t="s">
        <v>1223</v>
      </c>
      <c r="AC79" s="5" t="s">
        <v>164</v>
      </c>
      <c r="AD79" s="5" t="s">
        <v>1224</v>
      </c>
      <c r="AE79" s="5">
        <v>10</v>
      </c>
      <c r="AF79" s="5" t="s">
        <v>1225</v>
      </c>
      <c r="AG79" s="5">
        <v>1891</v>
      </c>
      <c r="AH79" s="8" t="s">
        <v>3233</v>
      </c>
      <c r="AI79" s="5">
        <v>31735064607645</v>
      </c>
    </row>
    <row r="80" spans="1:35" ht="114.75" x14ac:dyDescent="0.4">
      <c r="A80" s="4">
        <v>2</v>
      </c>
      <c r="B80" s="5">
        <v>75</v>
      </c>
      <c r="C80" s="5" t="s">
        <v>1197</v>
      </c>
      <c r="D80" s="5" t="s">
        <v>1197</v>
      </c>
      <c r="E80" s="5" t="s">
        <v>560</v>
      </c>
      <c r="F80" s="5" t="s">
        <v>894</v>
      </c>
      <c r="G80" s="5" t="s">
        <v>1226</v>
      </c>
      <c r="H80" s="4">
        <v>1892</v>
      </c>
      <c r="I80" s="5" t="s">
        <v>1227</v>
      </c>
      <c r="J80" s="5" t="s">
        <v>429</v>
      </c>
      <c r="K80" s="5" t="s">
        <v>1228</v>
      </c>
      <c r="L80" s="5" t="s">
        <v>1229</v>
      </c>
      <c r="M80" s="5" t="s">
        <v>259</v>
      </c>
      <c r="N80" s="5" t="s">
        <v>1230</v>
      </c>
      <c r="O80" s="5" t="s">
        <v>45</v>
      </c>
      <c r="P80" s="5" t="s">
        <v>45</v>
      </c>
      <c r="Q80" s="5" t="s">
        <v>1231</v>
      </c>
      <c r="R80" s="5" t="s">
        <v>1232</v>
      </c>
      <c r="S80" s="7"/>
      <c r="T80" s="5"/>
      <c r="U80" s="5"/>
      <c r="V80" s="5"/>
      <c r="W80" s="5"/>
      <c r="X80" s="5" t="s">
        <v>1233</v>
      </c>
      <c r="Y80" s="5"/>
      <c r="Z80" s="5" t="s">
        <v>1234</v>
      </c>
      <c r="AA80" s="6" t="s">
        <v>1235</v>
      </c>
      <c r="AB80" s="5" t="s">
        <v>1236</v>
      </c>
      <c r="AC80" s="5" t="s">
        <v>50</v>
      </c>
      <c r="AD80" s="5" t="s">
        <v>1237</v>
      </c>
      <c r="AE80" s="5">
        <v>15</v>
      </c>
      <c r="AF80" s="5" t="s">
        <v>1238</v>
      </c>
      <c r="AG80" s="5" t="s">
        <v>1239</v>
      </c>
      <c r="AH80" s="8" t="s">
        <v>3233</v>
      </c>
      <c r="AI80" s="5">
        <v>31735066267810</v>
      </c>
    </row>
    <row r="81" spans="1:35" ht="51" x14ac:dyDescent="0.4">
      <c r="A81" s="4">
        <v>2</v>
      </c>
      <c r="B81" s="5">
        <v>76</v>
      </c>
      <c r="C81" s="5" t="s">
        <v>95</v>
      </c>
      <c r="D81" s="5" t="s">
        <v>96</v>
      </c>
      <c r="E81" s="5" t="s">
        <v>560</v>
      </c>
      <c r="F81" s="5" t="s">
        <v>894</v>
      </c>
      <c r="G81" s="5" t="s">
        <v>1240</v>
      </c>
      <c r="H81" s="4">
        <v>1893</v>
      </c>
      <c r="I81" s="5" t="s">
        <v>1241</v>
      </c>
      <c r="J81" s="5" t="s">
        <v>41</v>
      </c>
      <c r="K81" s="5" t="s">
        <v>1242</v>
      </c>
      <c r="L81" s="5" t="s">
        <v>1243</v>
      </c>
      <c r="M81" s="5" t="s">
        <v>259</v>
      </c>
      <c r="N81" s="5" t="s">
        <v>1244</v>
      </c>
      <c r="O81" s="5" t="s">
        <v>261</v>
      </c>
      <c r="P81" s="5" t="s">
        <v>261</v>
      </c>
      <c r="Q81" s="5" t="s">
        <v>1245</v>
      </c>
      <c r="R81" s="5" t="s">
        <v>1246</v>
      </c>
      <c r="S81" s="7">
        <v>31</v>
      </c>
      <c r="T81" s="5" t="s">
        <v>67</v>
      </c>
      <c r="U81" s="5" t="s">
        <v>1247</v>
      </c>
      <c r="V81" s="5" t="s">
        <v>1248</v>
      </c>
      <c r="W81" s="5" t="s">
        <v>1249</v>
      </c>
      <c r="X81" s="5" t="s">
        <v>1250</v>
      </c>
      <c r="Y81" s="5" t="s">
        <v>1251</v>
      </c>
      <c r="Z81" s="5"/>
      <c r="AA81" s="5" t="s">
        <v>1252</v>
      </c>
      <c r="AB81" s="5" t="s">
        <v>1253</v>
      </c>
      <c r="AC81" s="5" t="s">
        <v>50</v>
      </c>
      <c r="AD81" s="5" t="s">
        <v>1254</v>
      </c>
      <c r="AE81" s="5">
        <v>1</v>
      </c>
      <c r="AF81" s="5" t="s">
        <v>1255</v>
      </c>
      <c r="AG81" s="5">
        <v>1893</v>
      </c>
      <c r="AH81" s="8" t="s">
        <v>3233</v>
      </c>
      <c r="AI81" s="5">
        <v>31735064607793</v>
      </c>
    </row>
    <row r="82" spans="1:35" ht="51" x14ac:dyDescent="0.4">
      <c r="A82" s="4">
        <v>2</v>
      </c>
      <c r="B82" s="5">
        <v>77</v>
      </c>
      <c r="C82" s="5" t="s">
        <v>150</v>
      </c>
      <c r="D82" s="5" t="s">
        <v>151</v>
      </c>
      <c r="E82" s="5" t="s">
        <v>560</v>
      </c>
      <c r="F82" s="5" t="s">
        <v>894</v>
      </c>
      <c r="G82" s="5" t="s">
        <v>1256</v>
      </c>
      <c r="H82" s="4">
        <v>1894</v>
      </c>
      <c r="I82" s="5" t="s">
        <v>1241</v>
      </c>
      <c r="J82" s="5" t="s">
        <v>41</v>
      </c>
      <c r="K82" s="5" t="s">
        <v>1257</v>
      </c>
      <c r="L82" s="5" t="s">
        <v>1243</v>
      </c>
      <c r="M82" s="5" t="s">
        <v>259</v>
      </c>
      <c r="N82" s="5" t="s">
        <v>1258</v>
      </c>
      <c r="O82" s="5" t="s">
        <v>261</v>
      </c>
      <c r="P82" s="5" t="s">
        <v>261</v>
      </c>
      <c r="Q82" s="5" t="s">
        <v>1259</v>
      </c>
      <c r="R82" s="5" t="s">
        <v>1260</v>
      </c>
      <c r="S82" s="7">
        <v>2000</v>
      </c>
      <c r="T82" s="5" t="s">
        <v>449</v>
      </c>
      <c r="U82" s="5" t="s">
        <v>1261</v>
      </c>
      <c r="V82" s="5" t="s">
        <v>1248</v>
      </c>
      <c r="W82" s="5" t="s">
        <v>1262</v>
      </c>
      <c r="X82" s="5" t="s">
        <v>1263</v>
      </c>
      <c r="Y82" s="5" t="s">
        <v>1264</v>
      </c>
      <c r="Z82" s="5"/>
      <c r="AA82" s="5" t="s">
        <v>1265</v>
      </c>
      <c r="AB82" s="5" t="s">
        <v>1266</v>
      </c>
      <c r="AC82" s="5" t="s">
        <v>50</v>
      </c>
      <c r="AD82" s="5" t="s">
        <v>1267</v>
      </c>
      <c r="AE82" s="5">
        <v>1</v>
      </c>
      <c r="AF82" s="5" t="s">
        <v>1268</v>
      </c>
      <c r="AG82" s="5">
        <v>1894</v>
      </c>
      <c r="AH82" s="8" t="s">
        <v>3233</v>
      </c>
      <c r="AI82" s="5">
        <v>31735064607827</v>
      </c>
    </row>
    <row r="83" spans="1:35" ht="51" x14ac:dyDescent="0.4">
      <c r="A83" s="4">
        <v>2</v>
      </c>
      <c r="B83" s="5">
        <v>78</v>
      </c>
      <c r="C83" s="5" t="s">
        <v>477</v>
      </c>
      <c r="D83" s="5" t="s">
        <v>1269</v>
      </c>
      <c r="E83" s="5" t="s">
        <v>560</v>
      </c>
      <c r="F83" s="5" t="s">
        <v>894</v>
      </c>
      <c r="G83" s="5" t="s">
        <v>1270</v>
      </c>
      <c r="H83" s="4">
        <v>1894</v>
      </c>
      <c r="I83" s="5" t="s">
        <v>1241</v>
      </c>
      <c r="J83" s="5" t="s">
        <v>41</v>
      </c>
      <c r="K83" s="5" t="s">
        <v>1271</v>
      </c>
      <c r="L83" s="5" t="s">
        <v>1272</v>
      </c>
      <c r="M83" s="5" t="s">
        <v>259</v>
      </c>
      <c r="N83" s="5" t="s">
        <v>1273</v>
      </c>
      <c r="O83" s="5" t="s">
        <v>261</v>
      </c>
      <c r="P83" s="5" t="s">
        <v>261</v>
      </c>
      <c r="Q83" s="5" t="s">
        <v>1274</v>
      </c>
      <c r="R83" s="5" t="s">
        <v>1275</v>
      </c>
      <c r="S83" s="7">
        <v>500</v>
      </c>
      <c r="T83" s="5" t="s">
        <v>449</v>
      </c>
      <c r="U83" s="5" t="s">
        <v>1261</v>
      </c>
      <c r="V83" s="5" t="s">
        <v>1276</v>
      </c>
      <c r="W83" s="5" t="s">
        <v>1262</v>
      </c>
      <c r="X83" s="5" t="s">
        <v>1277</v>
      </c>
      <c r="Y83" s="5"/>
      <c r="Z83" s="5"/>
      <c r="AA83" s="5" t="s">
        <v>1278</v>
      </c>
      <c r="AB83" s="5" t="s">
        <v>1279</v>
      </c>
      <c r="AC83" s="5" t="s">
        <v>50</v>
      </c>
      <c r="AD83" s="5" t="s">
        <v>1280</v>
      </c>
      <c r="AE83" s="5">
        <v>1</v>
      </c>
      <c r="AF83" s="5" t="s">
        <v>1268</v>
      </c>
      <c r="AG83" s="5">
        <v>1894</v>
      </c>
      <c r="AH83" s="8" t="s">
        <v>3233</v>
      </c>
      <c r="AI83" s="5">
        <v>31735064607819</v>
      </c>
    </row>
    <row r="84" spans="1:35" ht="76.5" x14ac:dyDescent="0.4">
      <c r="A84" s="4">
        <v>2</v>
      </c>
      <c r="B84" s="5">
        <v>79</v>
      </c>
      <c r="C84" s="5" t="s">
        <v>1197</v>
      </c>
      <c r="D84" s="5" t="s">
        <v>1197</v>
      </c>
      <c r="E84" s="5" t="s">
        <v>560</v>
      </c>
      <c r="F84" s="5" t="s">
        <v>894</v>
      </c>
      <c r="G84" s="5" t="s">
        <v>1281</v>
      </c>
      <c r="H84" s="4">
        <v>1895</v>
      </c>
      <c r="I84" s="5" t="s">
        <v>1282</v>
      </c>
      <c r="J84" s="5" t="s">
        <v>429</v>
      </c>
      <c r="K84" s="5" t="s">
        <v>1283</v>
      </c>
      <c r="L84" s="5" t="s">
        <v>1284</v>
      </c>
      <c r="M84" s="5" t="s">
        <v>259</v>
      </c>
      <c r="N84" s="5" t="s">
        <v>1285</v>
      </c>
      <c r="O84" s="5" t="s">
        <v>45</v>
      </c>
      <c r="P84" s="5" t="s">
        <v>45</v>
      </c>
      <c r="Q84" s="5" t="s">
        <v>1286</v>
      </c>
      <c r="R84" s="5" t="s">
        <v>1287</v>
      </c>
      <c r="S84" s="7"/>
      <c r="T84" s="5"/>
      <c r="U84" s="5"/>
      <c r="V84" s="5"/>
      <c r="W84" s="5"/>
      <c r="X84" s="5" t="s">
        <v>1288</v>
      </c>
      <c r="Y84" s="5"/>
      <c r="Z84" s="5" t="s">
        <v>1289</v>
      </c>
      <c r="AA84" s="5" t="s">
        <v>1290</v>
      </c>
      <c r="AB84" s="5" t="s">
        <v>1291</v>
      </c>
      <c r="AC84" s="5" t="s">
        <v>50</v>
      </c>
      <c r="AD84" s="5" t="s">
        <v>1292</v>
      </c>
      <c r="AE84" s="5">
        <v>2</v>
      </c>
      <c r="AF84" s="5" t="s">
        <v>1293</v>
      </c>
      <c r="AG84" s="5" t="s">
        <v>1294</v>
      </c>
      <c r="AH84" s="8" t="s">
        <v>3233</v>
      </c>
      <c r="AI84" s="5">
        <v>31735066237672</v>
      </c>
    </row>
    <row r="85" spans="1:35" ht="38.25" x14ac:dyDescent="0.4">
      <c r="A85" s="4">
        <v>2</v>
      </c>
      <c r="B85" s="5">
        <v>80</v>
      </c>
      <c r="C85" s="5" t="s">
        <v>53</v>
      </c>
      <c r="D85" s="5" t="s">
        <v>54</v>
      </c>
      <c r="E85" s="5" t="s">
        <v>560</v>
      </c>
      <c r="F85" s="5" t="s">
        <v>894</v>
      </c>
      <c r="G85" s="5" t="s">
        <v>1295</v>
      </c>
      <c r="H85" s="4">
        <v>1898</v>
      </c>
      <c r="I85" s="5" t="s">
        <v>1296</v>
      </c>
      <c r="J85" s="5" t="s">
        <v>41</v>
      </c>
      <c r="K85" s="5" t="s">
        <v>1297</v>
      </c>
      <c r="L85" s="5" t="s">
        <v>1298</v>
      </c>
      <c r="M85" s="5" t="s">
        <v>61</v>
      </c>
      <c r="N85" s="5" t="s">
        <v>1299</v>
      </c>
      <c r="O85" s="5" t="s">
        <v>45</v>
      </c>
      <c r="P85" s="5" t="s">
        <v>45</v>
      </c>
      <c r="Q85" s="5" t="s">
        <v>1300</v>
      </c>
      <c r="R85" s="5" t="s">
        <v>1301</v>
      </c>
      <c r="S85" s="7">
        <v>32</v>
      </c>
      <c r="T85" s="5" t="s">
        <v>67</v>
      </c>
      <c r="U85" s="5" t="s">
        <v>1302</v>
      </c>
      <c r="V85" s="5" t="s">
        <v>1303</v>
      </c>
      <c r="W85" s="5" t="s">
        <v>1304</v>
      </c>
      <c r="X85" s="5" t="s">
        <v>71</v>
      </c>
      <c r="Y85" s="5" t="s">
        <v>1305</v>
      </c>
      <c r="Z85" s="5"/>
      <c r="AA85" s="5" t="s">
        <v>1306</v>
      </c>
      <c r="AB85" s="5"/>
      <c r="AC85" s="5" t="s">
        <v>164</v>
      </c>
      <c r="AD85" s="5" t="s">
        <v>1307</v>
      </c>
      <c r="AE85" s="5">
        <v>1</v>
      </c>
      <c r="AF85" s="5" t="s">
        <v>1308</v>
      </c>
      <c r="AG85" s="5">
        <v>1898</v>
      </c>
      <c r="AH85" s="8" t="s">
        <v>3233</v>
      </c>
      <c r="AI85" s="5">
        <v>31735064607629</v>
      </c>
    </row>
    <row r="86" spans="1:35" ht="38.25" x14ac:dyDescent="0.4">
      <c r="A86" s="4">
        <v>2</v>
      </c>
      <c r="B86" s="5">
        <v>81</v>
      </c>
      <c r="C86" s="5" t="s">
        <v>150</v>
      </c>
      <c r="D86" s="5" t="s">
        <v>151</v>
      </c>
      <c r="E86" s="5" t="s">
        <v>560</v>
      </c>
      <c r="F86" s="5" t="s">
        <v>894</v>
      </c>
      <c r="G86" s="5" t="s">
        <v>1309</v>
      </c>
      <c r="H86" s="4">
        <v>1899</v>
      </c>
      <c r="I86" s="5" t="s">
        <v>1310</v>
      </c>
      <c r="J86" s="5" t="s">
        <v>41</v>
      </c>
      <c r="K86" s="5" t="s">
        <v>1311</v>
      </c>
      <c r="L86" s="5" t="s">
        <v>1186</v>
      </c>
      <c r="M86" s="5" t="s">
        <v>61</v>
      </c>
      <c r="N86" s="5" t="s">
        <v>1312</v>
      </c>
      <c r="O86" s="5" t="s">
        <v>83</v>
      </c>
      <c r="P86" s="5" t="s">
        <v>248</v>
      </c>
      <c r="Q86" s="5" t="s">
        <v>1313</v>
      </c>
      <c r="R86" s="5" t="s">
        <v>1314</v>
      </c>
      <c r="S86" s="7">
        <v>2.25</v>
      </c>
      <c r="T86" s="5" t="s">
        <v>634</v>
      </c>
      <c r="U86" s="5" t="s">
        <v>1315</v>
      </c>
      <c r="V86" s="5"/>
      <c r="W86" s="5" t="s">
        <v>1316</v>
      </c>
      <c r="X86" s="5" t="s">
        <v>71</v>
      </c>
      <c r="Y86" s="5" t="s">
        <v>1317</v>
      </c>
      <c r="Z86" s="5"/>
      <c r="AA86" s="5" t="s">
        <v>1318</v>
      </c>
      <c r="AB86" s="5" t="s">
        <v>1319</v>
      </c>
      <c r="AC86" s="5" t="s">
        <v>164</v>
      </c>
      <c r="AD86" s="6" t="s">
        <v>1320</v>
      </c>
      <c r="AE86" s="5">
        <v>1</v>
      </c>
      <c r="AF86" s="5" t="s">
        <v>1321</v>
      </c>
      <c r="AG86" s="5">
        <v>1890</v>
      </c>
      <c r="AH86" s="8" t="s">
        <v>3233</v>
      </c>
      <c r="AI86" s="5">
        <v>31735066266291</v>
      </c>
    </row>
    <row r="87" spans="1:35" ht="63.75" x14ac:dyDescent="0.4">
      <c r="A87" s="4">
        <v>2</v>
      </c>
      <c r="B87" s="5">
        <v>82</v>
      </c>
      <c r="C87" s="5" t="s">
        <v>53</v>
      </c>
      <c r="D87" s="5" t="s">
        <v>541</v>
      </c>
      <c r="E87" s="5" t="s">
        <v>560</v>
      </c>
      <c r="F87" s="5" t="s">
        <v>894</v>
      </c>
      <c r="G87" s="5" t="s">
        <v>1322</v>
      </c>
      <c r="H87" s="4">
        <v>1900</v>
      </c>
      <c r="I87" s="5" t="s">
        <v>1323</v>
      </c>
      <c r="J87" s="5" t="s">
        <v>41</v>
      </c>
      <c r="K87" s="5" t="s">
        <v>1324</v>
      </c>
      <c r="L87" s="5" t="s">
        <v>1325</v>
      </c>
      <c r="M87" s="5" t="s">
        <v>292</v>
      </c>
      <c r="N87" s="5" t="s">
        <v>1326</v>
      </c>
      <c r="O87" s="5" t="s">
        <v>83</v>
      </c>
      <c r="P87" s="5" t="s">
        <v>248</v>
      </c>
      <c r="Q87" s="5" t="s">
        <v>1327</v>
      </c>
      <c r="R87" s="5" t="s">
        <v>1328</v>
      </c>
      <c r="S87" s="7">
        <v>24</v>
      </c>
      <c r="T87" s="5" t="s">
        <v>67</v>
      </c>
      <c r="U87" s="5" t="s">
        <v>1329</v>
      </c>
      <c r="V87" s="5" t="s">
        <v>1330</v>
      </c>
      <c r="W87" s="5" t="s">
        <v>1331</v>
      </c>
      <c r="X87" s="5" t="s">
        <v>1332</v>
      </c>
      <c r="Y87" s="5" t="s">
        <v>1333</v>
      </c>
      <c r="Z87" s="5"/>
      <c r="AA87" s="5" t="s">
        <v>1334</v>
      </c>
      <c r="AB87" s="5"/>
      <c r="AC87" s="5" t="s">
        <v>164</v>
      </c>
      <c r="AD87" s="5" t="s">
        <v>1335</v>
      </c>
      <c r="AE87" s="5">
        <v>1</v>
      </c>
      <c r="AF87" s="5" t="s">
        <v>1336</v>
      </c>
      <c r="AG87" s="5">
        <v>1900</v>
      </c>
      <c r="AH87" s="8" t="s">
        <v>3233</v>
      </c>
      <c r="AI87" s="5">
        <v>31735064607496</v>
      </c>
    </row>
    <row r="88" spans="1:35" ht="38.25" x14ac:dyDescent="0.4">
      <c r="A88" s="4">
        <v>2</v>
      </c>
      <c r="B88" s="5">
        <v>83</v>
      </c>
      <c r="C88" s="5" t="s">
        <v>1197</v>
      </c>
      <c r="D88" s="5" t="s">
        <v>1197</v>
      </c>
      <c r="E88" s="5" t="s">
        <v>560</v>
      </c>
      <c r="F88" s="5" t="s">
        <v>894</v>
      </c>
      <c r="G88" s="5" t="s">
        <v>1337</v>
      </c>
      <c r="H88" s="4">
        <v>1900</v>
      </c>
      <c r="I88" s="5" t="s">
        <v>1338</v>
      </c>
      <c r="J88" s="5" t="s">
        <v>429</v>
      </c>
      <c r="K88" s="5" t="s">
        <v>1339</v>
      </c>
      <c r="L88" s="5" t="s">
        <v>1340</v>
      </c>
      <c r="M88" s="5" t="s">
        <v>259</v>
      </c>
      <c r="N88" s="5" t="s">
        <v>1341</v>
      </c>
      <c r="O88" s="5" t="s">
        <v>45</v>
      </c>
      <c r="P88" s="5" t="s">
        <v>45</v>
      </c>
      <c r="Q88" s="5" t="s">
        <v>1342</v>
      </c>
      <c r="R88" s="5" t="s">
        <v>1343</v>
      </c>
      <c r="S88" s="7"/>
      <c r="T88" s="5"/>
      <c r="U88" s="5"/>
      <c r="V88" s="5"/>
      <c r="W88" s="5"/>
      <c r="X88" s="5" t="s">
        <v>1344</v>
      </c>
      <c r="Y88" s="5"/>
      <c r="Z88" s="5"/>
      <c r="AA88" s="5" t="s">
        <v>1345</v>
      </c>
      <c r="AB88" s="5" t="s">
        <v>1346</v>
      </c>
      <c r="AC88" s="5" t="s">
        <v>50</v>
      </c>
      <c r="AD88" s="5" t="s">
        <v>1347</v>
      </c>
      <c r="AE88" s="5">
        <v>1</v>
      </c>
      <c r="AF88" s="5" t="s">
        <v>1348</v>
      </c>
      <c r="AG88" s="5">
        <v>1900</v>
      </c>
      <c r="AH88" s="8" t="s">
        <v>3233</v>
      </c>
      <c r="AI88" s="5">
        <v>31735066266739</v>
      </c>
    </row>
    <row r="89" spans="1:35" ht="38.25" x14ac:dyDescent="0.4">
      <c r="A89" s="4">
        <v>2</v>
      </c>
      <c r="B89" s="5" t="s">
        <v>1349</v>
      </c>
      <c r="C89" s="5" t="s">
        <v>53</v>
      </c>
      <c r="D89" s="5" t="s">
        <v>541</v>
      </c>
      <c r="E89" s="5" t="s">
        <v>560</v>
      </c>
      <c r="F89" s="5" t="s">
        <v>894</v>
      </c>
      <c r="G89" s="5" t="s">
        <v>1350</v>
      </c>
      <c r="H89" s="4">
        <v>1900</v>
      </c>
      <c r="I89" s="5" t="s">
        <v>1323</v>
      </c>
      <c r="J89" s="5" t="s">
        <v>41</v>
      </c>
      <c r="K89" s="5" t="s">
        <v>1351</v>
      </c>
      <c r="L89" s="5" t="s">
        <v>1325</v>
      </c>
      <c r="M89" s="5" t="s">
        <v>292</v>
      </c>
      <c r="N89" s="5" t="s">
        <v>1326</v>
      </c>
      <c r="O89" s="5" t="s">
        <v>83</v>
      </c>
      <c r="P89" s="5" t="s">
        <v>248</v>
      </c>
      <c r="Q89" s="5" t="s">
        <v>1352</v>
      </c>
      <c r="R89" s="5" t="s">
        <v>1353</v>
      </c>
      <c r="S89" s="7">
        <v>24</v>
      </c>
      <c r="T89" s="5" t="s">
        <v>67</v>
      </c>
      <c r="U89" s="5" t="s">
        <v>1329</v>
      </c>
      <c r="V89" s="5" t="s">
        <v>1330</v>
      </c>
      <c r="W89" s="5" t="s">
        <v>1331</v>
      </c>
      <c r="X89" s="5" t="s">
        <v>1354</v>
      </c>
      <c r="Y89" s="5" t="s">
        <v>1333</v>
      </c>
      <c r="Z89" s="5"/>
      <c r="AA89" s="5" t="s">
        <v>1355</v>
      </c>
      <c r="AB89" s="5" t="s">
        <v>1356</v>
      </c>
      <c r="AC89" s="5" t="s">
        <v>50</v>
      </c>
      <c r="AD89" s="5" t="s">
        <v>1357</v>
      </c>
      <c r="AE89" s="5">
        <v>1</v>
      </c>
      <c r="AF89" s="5" t="s">
        <v>1358</v>
      </c>
      <c r="AG89" s="5">
        <v>1900</v>
      </c>
      <c r="AH89" s="8" t="s">
        <v>3233</v>
      </c>
      <c r="AI89" s="5">
        <v>31735068223316</v>
      </c>
    </row>
    <row r="90" spans="1:35" ht="38.25" x14ac:dyDescent="0.4">
      <c r="A90" s="4">
        <v>2</v>
      </c>
      <c r="B90" s="5">
        <v>84</v>
      </c>
      <c r="C90" s="5" t="s">
        <v>95</v>
      </c>
      <c r="D90" s="5" t="s">
        <v>96</v>
      </c>
      <c r="E90" s="5" t="s">
        <v>560</v>
      </c>
      <c r="F90" s="5" t="s">
        <v>894</v>
      </c>
      <c r="G90" s="5" t="s">
        <v>1359</v>
      </c>
      <c r="H90" s="4">
        <v>1903</v>
      </c>
      <c r="I90" s="5" t="s">
        <v>1360</v>
      </c>
      <c r="J90" s="5" t="s">
        <v>41</v>
      </c>
      <c r="K90" s="5" t="s">
        <v>1361</v>
      </c>
      <c r="L90" s="5" t="s">
        <v>1362</v>
      </c>
      <c r="M90" s="5" t="s">
        <v>61</v>
      </c>
      <c r="N90" s="5" t="s">
        <v>1363</v>
      </c>
      <c r="O90" s="5" t="s">
        <v>530</v>
      </c>
      <c r="P90" s="5" t="s">
        <v>1017</v>
      </c>
      <c r="Q90" s="5" t="s">
        <v>1364</v>
      </c>
      <c r="R90" s="5" t="s">
        <v>1365</v>
      </c>
      <c r="S90" s="7">
        <v>45</v>
      </c>
      <c r="T90" s="5" t="s">
        <v>67</v>
      </c>
      <c r="U90" s="5" t="s">
        <v>1366</v>
      </c>
      <c r="V90" s="5" t="s">
        <v>1367</v>
      </c>
      <c r="W90" s="5" t="s">
        <v>1368</v>
      </c>
      <c r="X90" s="5" t="s">
        <v>71</v>
      </c>
      <c r="Y90" s="5" t="s">
        <v>1369</v>
      </c>
      <c r="Z90" s="5"/>
      <c r="AA90" s="6" t="s">
        <v>1370</v>
      </c>
      <c r="AB90" s="5" t="s">
        <v>1371</v>
      </c>
      <c r="AC90" s="5" t="s">
        <v>50</v>
      </c>
      <c r="AD90" s="5" t="s">
        <v>1372</v>
      </c>
      <c r="AE90" s="5">
        <v>1</v>
      </c>
      <c r="AF90" s="5" t="s">
        <v>1373</v>
      </c>
      <c r="AG90" s="5">
        <v>1903</v>
      </c>
      <c r="AH90" s="8" t="s">
        <v>3233</v>
      </c>
      <c r="AI90" s="5">
        <v>31735066267851</v>
      </c>
    </row>
    <row r="91" spans="1:35" ht="89.25" x14ac:dyDescent="0.4">
      <c r="A91" s="4">
        <v>2</v>
      </c>
      <c r="B91" s="5">
        <v>85</v>
      </c>
      <c r="C91" s="5" t="s">
        <v>53</v>
      </c>
      <c r="D91" s="5" t="s">
        <v>54</v>
      </c>
      <c r="E91" s="5" t="s">
        <v>560</v>
      </c>
      <c r="F91" s="5" t="s">
        <v>894</v>
      </c>
      <c r="G91" s="5" t="s">
        <v>1374</v>
      </c>
      <c r="H91" s="4">
        <v>1903</v>
      </c>
      <c r="I91" s="5" t="s">
        <v>1375</v>
      </c>
      <c r="J91" s="5" t="s">
        <v>41</v>
      </c>
      <c r="K91" s="5" t="s">
        <v>1376</v>
      </c>
      <c r="L91" s="5" t="s">
        <v>1377</v>
      </c>
      <c r="M91" s="5" t="s">
        <v>1378</v>
      </c>
      <c r="N91" s="5" t="s">
        <v>1379</v>
      </c>
      <c r="O91" s="5" t="s">
        <v>530</v>
      </c>
      <c r="P91" s="5" t="s">
        <v>1017</v>
      </c>
      <c r="Q91" s="5" t="s">
        <v>1380</v>
      </c>
      <c r="R91" s="5" t="s">
        <v>1381</v>
      </c>
      <c r="S91" s="7">
        <v>15</v>
      </c>
      <c r="T91" s="5" t="s">
        <v>67</v>
      </c>
      <c r="U91" s="5" t="s">
        <v>1382</v>
      </c>
      <c r="V91" s="5" t="s">
        <v>1383</v>
      </c>
      <c r="W91" s="5" t="s">
        <v>1384</v>
      </c>
      <c r="X91" s="5" t="s">
        <v>1385</v>
      </c>
      <c r="Y91" s="5" t="s">
        <v>1386</v>
      </c>
      <c r="Z91" s="5" t="s">
        <v>1387</v>
      </c>
      <c r="AA91" s="5" t="s">
        <v>1388</v>
      </c>
      <c r="AB91" s="5"/>
      <c r="AC91" s="5" t="s">
        <v>164</v>
      </c>
      <c r="AD91" s="5" t="s">
        <v>1389</v>
      </c>
      <c r="AE91" s="5">
        <v>2</v>
      </c>
      <c r="AF91" s="5" t="s">
        <v>1390</v>
      </c>
      <c r="AG91" s="5" t="s">
        <v>1391</v>
      </c>
      <c r="AH91" s="8" t="s">
        <v>3233</v>
      </c>
      <c r="AI91" s="5">
        <v>31735066237557</v>
      </c>
    </row>
    <row r="92" spans="1:35" ht="76.5" x14ac:dyDescent="0.4">
      <c r="A92" s="4">
        <v>2</v>
      </c>
      <c r="B92" s="5">
        <v>86</v>
      </c>
      <c r="C92" s="5" t="s">
        <v>53</v>
      </c>
      <c r="D92" s="5" t="s">
        <v>541</v>
      </c>
      <c r="E92" s="5" t="s">
        <v>560</v>
      </c>
      <c r="F92" s="5" t="s">
        <v>894</v>
      </c>
      <c r="G92" s="5" t="s">
        <v>1392</v>
      </c>
      <c r="H92" s="4">
        <v>1904</v>
      </c>
      <c r="I92" s="5" t="s">
        <v>1393</v>
      </c>
      <c r="J92" s="5" t="s">
        <v>41</v>
      </c>
      <c r="K92" s="5" t="s">
        <v>1394</v>
      </c>
      <c r="L92" s="5" t="s">
        <v>1395</v>
      </c>
      <c r="M92" s="5" t="s">
        <v>292</v>
      </c>
      <c r="N92" s="5" t="s">
        <v>1396</v>
      </c>
      <c r="O92" s="5" t="s">
        <v>582</v>
      </c>
      <c r="P92" s="5" t="s">
        <v>582</v>
      </c>
      <c r="Q92" s="5" t="s">
        <v>1397</v>
      </c>
      <c r="R92" s="5" t="s">
        <v>1398</v>
      </c>
      <c r="S92" s="7">
        <v>60</v>
      </c>
      <c r="T92" s="5" t="s">
        <v>634</v>
      </c>
      <c r="U92" s="5" t="s">
        <v>1399</v>
      </c>
      <c r="V92" s="5" t="s">
        <v>1400</v>
      </c>
      <c r="W92" s="5" t="s">
        <v>1401</v>
      </c>
      <c r="X92" s="5" t="s">
        <v>1402</v>
      </c>
      <c r="Y92" s="5" t="s">
        <v>1403</v>
      </c>
      <c r="Z92" s="5" t="s">
        <v>1404</v>
      </c>
      <c r="AA92" s="5" t="s">
        <v>1405</v>
      </c>
      <c r="AB92" s="5"/>
      <c r="AC92" s="5" t="s">
        <v>50</v>
      </c>
      <c r="AD92" s="5" t="s">
        <v>1406</v>
      </c>
      <c r="AE92" s="5">
        <v>2</v>
      </c>
      <c r="AF92" s="5" t="s">
        <v>1407</v>
      </c>
      <c r="AG92" s="5" t="s">
        <v>1408</v>
      </c>
      <c r="AH92" s="8" t="s">
        <v>3233</v>
      </c>
      <c r="AI92" s="5">
        <v>31735066237532</v>
      </c>
    </row>
    <row r="93" spans="1:35" ht="51" x14ac:dyDescent="0.4">
      <c r="A93" s="4">
        <v>2</v>
      </c>
      <c r="B93" s="5">
        <v>87</v>
      </c>
      <c r="C93" s="5" t="s">
        <v>53</v>
      </c>
      <c r="D93" s="5" t="s">
        <v>541</v>
      </c>
      <c r="E93" s="5" t="s">
        <v>560</v>
      </c>
      <c r="F93" s="5" t="s">
        <v>894</v>
      </c>
      <c r="G93" s="5" t="s">
        <v>1409</v>
      </c>
      <c r="H93" s="4">
        <v>1906</v>
      </c>
      <c r="I93" s="5" t="s">
        <v>1410</v>
      </c>
      <c r="J93" s="5" t="s">
        <v>41</v>
      </c>
      <c r="K93" s="5" t="s">
        <v>1411</v>
      </c>
      <c r="L93" s="5" t="s">
        <v>1412</v>
      </c>
      <c r="M93" s="5" t="s">
        <v>735</v>
      </c>
      <c r="N93" s="5" t="s">
        <v>1413</v>
      </c>
      <c r="O93" s="5" t="s">
        <v>582</v>
      </c>
      <c r="P93" s="5" t="s">
        <v>582</v>
      </c>
      <c r="Q93" s="5" t="s">
        <v>1414</v>
      </c>
      <c r="R93" s="5" t="s">
        <v>1415</v>
      </c>
      <c r="S93" s="7">
        <v>130</v>
      </c>
      <c r="T93" s="5" t="s">
        <v>67</v>
      </c>
      <c r="U93" s="5" t="s">
        <v>1416</v>
      </c>
      <c r="V93" s="5" t="s">
        <v>1417</v>
      </c>
      <c r="W93" s="5" t="s">
        <v>1418</v>
      </c>
      <c r="X93" s="5" t="s">
        <v>1419</v>
      </c>
      <c r="Y93" s="5" t="s">
        <v>1420</v>
      </c>
      <c r="Z93" s="5"/>
      <c r="AA93" s="5" t="s">
        <v>1421</v>
      </c>
      <c r="AB93" s="5" t="s">
        <v>1422</v>
      </c>
      <c r="AC93" s="5" t="s">
        <v>50</v>
      </c>
      <c r="AD93" s="5" t="s">
        <v>1423</v>
      </c>
      <c r="AE93" s="5">
        <v>1</v>
      </c>
      <c r="AF93" s="5" t="s">
        <v>1424</v>
      </c>
      <c r="AG93" s="5">
        <v>1906</v>
      </c>
      <c r="AH93" s="8" t="s">
        <v>3233</v>
      </c>
      <c r="AI93" s="5">
        <v>31735064607702</v>
      </c>
    </row>
    <row r="94" spans="1:35" ht="51" x14ac:dyDescent="0.4">
      <c r="A94" s="4">
        <v>2</v>
      </c>
      <c r="B94" s="5">
        <v>88</v>
      </c>
      <c r="C94" s="5" t="s">
        <v>53</v>
      </c>
      <c r="D94" s="5" t="s">
        <v>541</v>
      </c>
      <c r="E94" s="5" t="s">
        <v>560</v>
      </c>
      <c r="F94" s="5" t="s">
        <v>894</v>
      </c>
      <c r="G94" s="5" t="s">
        <v>1425</v>
      </c>
      <c r="H94" s="4">
        <v>1906</v>
      </c>
      <c r="I94" s="5" t="s">
        <v>1426</v>
      </c>
      <c r="J94" s="5" t="s">
        <v>41</v>
      </c>
      <c r="K94" s="5" t="s">
        <v>1427</v>
      </c>
      <c r="L94" s="5" t="s">
        <v>1428</v>
      </c>
      <c r="M94" s="5" t="s">
        <v>292</v>
      </c>
      <c r="N94" s="5" t="s">
        <v>1429</v>
      </c>
      <c r="O94" s="5" t="s">
        <v>83</v>
      </c>
      <c r="P94" s="5" t="s">
        <v>248</v>
      </c>
      <c r="Q94" s="5" t="s">
        <v>1430</v>
      </c>
      <c r="R94" s="5" t="s">
        <v>1431</v>
      </c>
      <c r="S94" s="7">
        <v>10</v>
      </c>
      <c r="T94" s="5" t="s">
        <v>67</v>
      </c>
      <c r="U94" s="5" t="s">
        <v>1432</v>
      </c>
      <c r="V94" s="5" t="s">
        <v>1433</v>
      </c>
      <c r="W94" s="5" t="s">
        <v>1434</v>
      </c>
      <c r="X94" s="5" t="s">
        <v>71</v>
      </c>
      <c r="Y94" s="5" t="s">
        <v>1435</v>
      </c>
      <c r="Z94" s="5"/>
      <c r="AA94" s="5" t="s">
        <v>1436</v>
      </c>
      <c r="AB94" s="5"/>
      <c r="AC94" s="5" t="s">
        <v>164</v>
      </c>
      <c r="AD94" s="5" t="s">
        <v>1437</v>
      </c>
      <c r="AE94" s="5">
        <v>1</v>
      </c>
      <c r="AF94" s="5" t="s">
        <v>1438</v>
      </c>
      <c r="AG94" s="5">
        <v>1906</v>
      </c>
      <c r="AH94" s="8" t="s">
        <v>3233</v>
      </c>
      <c r="AI94" s="5">
        <v>31735066237490</v>
      </c>
    </row>
    <row r="95" spans="1:35" ht="76.5" x14ac:dyDescent="0.4">
      <c r="A95" s="4">
        <v>2</v>
      </c>
      <c r="B95" s="5" t="s">
        <v>1439</v>
      </c>
      <c r="C95" s="5" t="s">
        <v>53</v>
      </c>
      <c r="D95" s="5" t="s">
        <v>541</v>
      </c>
      <c r="E95" s="5" t="s">
        <v>560</v>
      </c>
      <c r="F95" s="5" t="s">
        <v>894</v>
      </c>
      <c r="G95" s="5" t="s">
        <v>1440</v>
      </c>
      <c r="H95" s="4">
        <v>1906</v>
      </c>
      <c r="I95" s="5" t="s">
        <v>1441</v>
      </c>
      <c r="J95" s="5" t="s">
        <v>41</v>
      </c>
      <c r="K95" s="5" t="s">
        <v>1442</v>
      </c>
      <c r="L95" s="5" t="s">
        <v>1443</v>
      </c>
      <c r="M95" s="5" t="s">
        <v>292</v>
      </c>
      <c r="N95" s="5" t="s">
        <v>1444</v>
      </c>
      <c r="O95" s="5" t="s">
        <v>83</v>
      </c>
      <c r="P95" s="5" t="s">
        <v>248</v>
      </c>
      <c r="Q95" s="5" t="s">
        <v>1445</v>
      </c>
      <c r="R95" s="5" t="s">
        <v>1446</v>
      </c>
      <c r="S95" s="7"/>
      <c r="T95" s="5" t="s">
        <v>67</v>
      </c>
      <c r="U95" s="5" t="s">
        <v>1447</v>
      </c>
      <c r="V95" s="5"/>
      <c r="W95" s="5" t="s">
        <v>1448</v>
      </c>
      <c r="X95" s="5" t="s">
        <v>1449</v>
      </c>
      <c r="Y95" s="5" t="s">
        <v>1450</v>
      </c>
      <c r="Z95" s="5" t="s">
        <v>1451</v>
      </c>
      <c r="AA95" s="5" t="s">
        <v>1452</v>
      </c>
      <c r="AB95" s="5" t="s">
        <v>1453</v>
      </c>
      <c r="AC95" s="5" t="s">
        <v>313</v>
      </c>
      <c r="AD95" s="5" t="s">
        <v>1454</v>
      </c>
      <c r="AE95" s="5">
        <v>1</v>
      </c>
      <c r="AF95" s="5" t="s">
        <v>1455</v>
      </c>
      <c r="AG95" s="5" t="s">
        <v>1456</v>
      </c>
      <c r="AH95" s="8" t="s">
        <v>3233</v>
      </c>
      <c r="AI95" s="5">
        <v>31735068223324</v>
      </c>
    </row>
    <row r="96" spans="1:35" ht="76.5" x14ac:dyDescent="0.4">
      <c r="A96" s="4">
        <v>2</v>
      </c>
      <c r="B96" s="5" t="s">
        <v>1457</v>
      </c>
      <c r="C96" s="5" t="s">
        <v>53</v>
      </c>
      <c r="D96" s="5" t="s">
        <v>541</v>
      </c>
      <c r="E96" s="5" t="s">
        <v>560</v>
      </c>
      <c r="F96" s="5" t="s">
        <v>894</v>
      </c>
      <c r="G96" s="5" t="s">
        <v>1458</v>
      </c>
      <c r="H96" s="4">
        <v>1906</v>
      </c>
      <c r="I96" s="5" t="s">
        <v>1426</v>
      </c>
      <c r="J96" s="5" t="s">
        <v>41</v>
      </c>
      <c r="K96" s="5" t="s">
        <v>1427</v>
      </c>
      <c r="L96" s="5" t="s">
        <v>1428</v>
      </c>
      <c r="M96" s="5" t="s">
        <v>292</v>
      </c>
      <c r="N96" s="5" t="s">
        <v>1429</v>
      </c>
      <c r="O96" s="5" t="s">
        <v>83</v>
      </c>
      <c r="P96" s="5" t="s">
        <v>248</v>
      </c>
      <c r="Q96" s="5" t="s">
        <v>1459</v>
      </c>
      <c r="R96" s="5" t="s">
        <v>1460</v>
      </c>
      <c r="S96" s="7">
        <v>10</v>
      </c>
      <c r="T96" s="5" t="s">
        <v>67</v>
      </c>
      <c r="U96" s="5" t="s">
        <v>1432</v>
      </c>
      <c r="V96" s="5" t="s">
        <v>1433</v>
      </c>
      <c r="W96" s="5" t="s">
        <v>1461</v>
      </c>
      <c r="X96" s="5" t="s">
        <v>1462</v>
      </c>
      <c r="Y96" s="5" t="s">
        <v>1450</v>
      </c>
      <c r="Z96" s="5" t="s">
        <v>1463</v>
      </c>
      <c r="AA96" s="5" t="s">
        <v>1464</v>
      </c>
      <c r="AB96" s="5"/>
      <c r="AC96" s="5" t="s">
        <v>50</v>
      </c>
      <c r="AD96" s="5" t="s">
        <v>1465</v>
      </c>
      <c r="AE96" s="5">
        <v>1</v>
      </c>
      <c r="AF96" s="5" t="s">
        <v>1466</v>
      </c>
      <c r="AG96" s="5" t="s">
        <v>1467</v>
      </c>
      <c r="AH96" s="8" t="s">
        <v>3233</v>
      </c>
      <c r="AI96" s="5">
        <v>31735068223332</v>
      </c>
    </row>
    <row r="97" spans="1:35" ht="38.25" x14ac:dyDescent="0.4">
      <c r="A97" s="4">
        <v>2</v>
      </c>
      <c r="B97" s="5">
        <v>89</v>
      </c>
      <c r="C97" s="5" t="s">
        <v>243</v>
      </c>
      <c r="D97" s="5" t="s">
        <v>244</v>
      </c>
      <c r="E97" s="5" t="s">
        <v>560</v>
      </c>
      <c r="F97" s="5" t="s">
        <v>1468</v>
      </c>
      <c r="G97" s="5" t="s">
        <v>1469</v>
      </c>
      <c r="H97" s="4">
        <v>1909</v>
      </c>
      <c r="I97" s="5" t="s">
        <v>1470</v>
      </c>
      <c r="J97" s="5" t="s">
        <v>41</v>
      </c>
      <c r="K97" s="5" t="s">
        <v>1471</v>
      </c>
      <c r="L97" s="5" t="s">
        <v>1472</v>
      </c>
      <c r="M97" s="5" t="s">
        <v>190</v>
      </c>
      <c r="N97" s="5" t="s">
        <v>190</v>
      </c>
      <c r="O97" s="5" t="s">
        <v>45</v>
      </c>
      <c r="P97" s="5" t="s">
        <v>45</v>
      </c>
      <c r="Q97" s="5" t="s">
        <v>1473</v>
      </c>
      <c r="R97" s="5" t="s">
        <v>1474</v>
      </c>
      <c r="S97" s="7">
        <v>19.8</v>
      </c>
      <c r="T97" s="5" t="s">
        <v>67</v>
      </c>
      <c r="U97" s="5"/>
      <c r="V97" s="5"/>
      <c r="W97" s="5"/>
      <c r="X97" s="5" t="s">
        <v>1475</v>
      </c>
      <c r="Y97" s="5"/>
      <c r="Z97" s="5"/>
      <c r="AA97" s="5" t="s">
        <v>1476</v>
      </c>
      <c r="AB97" s="5" t="s">
        <v>1477</v>
      </c>
      <c r="AC97" s="5" t="s">
        <v>50</v>
      </c>
      <c r="AD97" s="5" t="s">
        <v>1478</v>
      </c>
      <c r="AE97" s="5">
        <v>1</v>
      </c>
      <c r="AF97" s="5" t="s">
        <v>1479</v>
      </c>
      <c r="AG97" s="5">
        <v>1909</v>
      </c>
      <c r="AH97" s="8" t="s">
        <v>3233</v>
      </c>
      <c r="AI97" s="5">
        <v>31735066267646</v>
      </c>
    </row>
    <row r="98" spans="1:35" ht="38.25" x14ac:dyDescent="0.4">
      <c r="A98" s="4">
        <v>2</v>
      </c>
      <c r="B98" s="5">
        <v>90</v>
      </c>
      <c r="C98" s="5" t="s">
        <v>53</v>
      </c>
      <c r="D98" s="5" t="s">
        <v>541</v>
      </c>
      <c r="E98" s="5" t="s">
        <v>560</v>
      </c>
      <c r="F98" s="5" t="s">
        <v>1468</v>
      </c>
      <c r="G98" s="5" t="s">
        <v>1480</v>
      </c>
      <c r="H98" s="4">
        <v>1909</v>
      </c>
      <c r="I98" s="5" t="s">
        <v>1481</v>
      </c>
      <c r="J98" s="5" t="s">
        <v>41</v>
      </c>
      <c r="K98" s="5" t="s">
        <v>1482</v>
      </c>
      <c r="L98" s="5" t="s">
        <v>1483</v>
      </c>
      <c r="M98" s="5" t="s">
        <v>61</v>
      </c>
      <c r="N98" s="5" t="s">
        <v>1484</v>
      </c>
      <c r="O98" s="5" t="s">
        <v>45</v>
      </c>
      <c r="P98" s="5" t="s">
        <v>45</v>
      </c>
      <c r="Q98" s="5" t="s">
        <v>1485</v>
      </c>
      <c r="R98" s="5" t="s">
        <v>1486</v>
      </c>
      <c r="S98" s="7">
        <v>20</v>
      </c>
      <c r="T98" s="5" t="s">
        <v>67</v>
      </c>
      <c r="U98" s="5" t="s">
        <v>1487</v>
      </c>
      <c r="V98" s="5" t="s">
        <v>1488</v>
      </c>
      <c r="W98" s="5" t="s">
        <v>1489</v>
      </c>
      <c r="X98" s="5" t="s">
        <v>1490</v>
      </c>
      <c r="Y98" s="5" t="s">
        <v>1491</v>
      </c>
      <c r="Z98" s="5"/>
      <c r="AA98" s="5" t="s">
        <v>1492</v>
      </c>
      <c r="AB98" s="5" t="s">
        <v>1493</v>
      </c>
      <c r="AC98" s="5" t="s">
        <v>50</v>
      </c>
      <c r="AD98" s="5" t="s">
        <v>1494</v>
      </c>
      <c r="AE98" s="5">
        <v>1</v>
      </c>
      <c r="AF98" s="5" t="s">
        <v>1495</v>
      </c>
      <c r="AG98" s="5">
        <v>1909</v>
      </c>
      <c r="AH98" s="8" t="s">
        <v>3233</v>
      </c>
      <c r="AI98" s="5">
        <v>31735066267836</v>
      </c>
    </row>
    <row r="99" spans="1:35" ht="38.25" x14ac:dyDescent="0.4">
      <c r="A99" s="4">
        <v>2</v>
      </c>
      <c r="B99" s="5">
        <v>91</v>
      </c>
      <c r="C99" s="5" t="s">
        <v>95</v>
      </c>
      <c r="D99" s="5" t="s">
        <v>96</v>
      </c>
      <c r="E99" s="5" t="s">
        <v>560</v>
      </c>
      <c r="F99" s="5" t="s">
        <v>1468</v>
      </c>
      <c r="G99" s="5" t="s">
        <v>1496</v>
      </c>
      <c r="H99" s="4">
        <v>1910</v>
      </c>
      <c r="I99" s="5" t="s">
        <v>1497</v>
      </c>
      <c r="J99" s="5" t="s">
        <v>41</v>
      </c>
      <c r="K99" s="5" t="s">
        <v>1498</v>
      </c>
      <c r="L99" s="5" t="s">
        <v>1499</v>
      </c>
      <c r="M99" s="5" t="s">
        <v>61</v>
      </c>
      <c r="N99" s="5" t="s">
        <v>1500</v>
      </c>
      <c r="O99" s="5" t="s">
        <v>45</v>
      </c>
      <c r="P99" s="5" t="s">
        <v>45</v>
      </c>
      <c r="Q99" s="5" t="s">
        <v>1501</v>
      </c>
      <c r="R99" s="5" t="s">
        <v>1502</v>
      </c>
      <c r="S99" s="7">
        <v>70</v>
      </c>
      <c r="T99" s="5" t="s">
        <v>468</v>
      </c>
      <c r="U99" s="5" t="s">
        <v>1503</v>
      </c>
      <c r="V99" s="5" t="s">
        <v>1504</v>
      </c>
      <c r="W99" s="5" t="s">
        <v>1505</v>
      </c>
      <c r="X99" s="5" t="s">
        <v>1506</v>
      </c>
      <c r="Y99" s="5" t="s">
        <v>1507</v>
      </c>
      <c r="Z99" s="5"/>
      <c r="AA99" s="5" t="s">
        <v>1508</v>
      </c>
      <c r="AB99" s="5" t="s">
        <v>1509</v>
      </c>
      <c r="AC99" s="5" t="s">
        <v>50</v>
      </c>
      <c r="AD99" s="5" t="s">
        <v>1510</v>
      </c>
      <c r="AE99" s="5">
        <v>1</v>
      </c>
      <c r="AF99" s="5" t="s">
        <v>1511</v>
      </c>
      <c r="AG99" s="5">
        <v>1910</v>
      </c>
      <c r="AH99" s="8" t="s">
        <v>3233</v>
      </c>
      <c r="AI99" s="5">
        <v>31735064607686</v>
      </c>
    </row>
    <row r="100" spans="1:35" ht="38.25" x14ac:dyDescent="0.4">
      <c r="A100" s="4">
        <v>2</v>
      </c>
      <c r="B100" s="5">
        <v>92</v>
      </c>
      <c r="C100" s="5" t="s">
        <v>53</v>
      </c>
      <c r="D100" s="5" t="s">
        <v>541</v>
      </c>
      <c r="E100" s="5" t="s">
        <v>560</v>
      </c>
      <c r="F100" s="5" t="s">
        <v>1468</v>
      </c>
      <c r="G100" s="5" t="s">
        <v>1512</v>
      </c>
      <c r="H100" s="4">
        <v>1910</v>
      </c>
      <c r="I100" s="5" t="s">
        <v>1513</v>
      </c>
      <c r="J100" s="5" t="s">
        <v>41</v>
      </c>
      <c r="K100" s="5" t="s">
        <v>598</v>
      </c>
      <c r="L100" s="5" t="s">
        <v>1514</v>
      </c>
      <c r="M100" s="5" t="s">
        <v>190</v>
      </c>
      <c r="N100" s="5" t="s">
        <v>1515</v>
      </c>
      <c r="O100" s="5" t="s">
        <v>83</v>
      </c>
      <c r="P100" s="5" t="s">
        <v>1516</v>
      </c>
      <c r="Q100" s="5" t="s">
        <v>1517</v>
      </c>
      <c r="R100" s="5" t="s">
        <v>1518</v>
      </c>
      <c r="S100" s="7">
        <v>8.25</v>
      </c>
      <c r="T100" s="5" t="s">
        <v>67</v>
      </c>
      <c r="U100" s="5" t="s">
        <v>1519</v>
      </c>
      <c r="V100" s="5" t="s">
        <v>1520</v>
      </c>
      <c r="W100" s="5" t="s">
        <v>1521</v>
      </c>
      <c r="X100" s="5" t="s">
        <v>1522</v>
      </c>
      <c r="Y100" s="5" t="s">
        <v>1523</v>
      </c>
      <c r="Z100" s="5"/>
      <c r="AA100" s="5" t="s">
        <v>1524</v>
      </c>
      <c r="AB100" s="5"/>
      <c r="AC100" s="5" t="s">
        <v>164</v>
      </c>
      <c r="AD100" s="5" t="s">
        <v>1525</v>
      </c>
      <c r="AE100" s="5">
        <v>1</v>
      </c>
      <c r="AF100" s="5" t="s">
        <v>1526</v>
      </c>
      <c r="AG100" s="5">
        <v>1910</v>
      </c>
      <c r="AH100" s="8" t="s">
        <v>3233</v>
      </c>
      <c r="AI100" s="5">
        <v>31735066237730</v>
      </c>
    </row>
    <row r="101" spans="1:35" ht="76.5" x14ac:dyDescent="0.4">
      <c r="A101" s="4">
        <v>2</v>
      </c>
      <c r="B101" s="5">
        <v>93</v>
      </c>
      <c r="C101" s="5" t="s">
        <v>53</v>
      </c>
      <c r="D101" s="5" t="s">
        <v>541</v>
      </c>
      <c r="E101" s="5" t="s">
        <v>560</v>
      </c>
      <c r="F101" s="5" t="s">
        <v>1468</v>
      </c>
      <c r="G101" s="5" t="s">
        <v>1496</v>
      </c>
      <c r="H101" s="4">
        <v>1910</v>
      </c>
      <c r="I101" s="5" t="s">
        <v>1527</v>
      </c>
      <c r="J101" s="5" t="s">
        <v>41</v>
      </c>
      <c r="K101" s="5" t="s">
        <v>1528</v>
      </c>
      <c r="L101" s="5" t="s">
        <v>1529</v>
      </c>
      <c r="M101" s="5" t="s">
        <v>259</v>
      </c>
      <c r="N101" s="5" t="s">
        <v>1530</v>
      </c>
      <c r="O101" s="5" t="s">
        <v>530</v>
      </c>
      <c r="P101" s="5" t="s">
        <v>530</v>
      </c>
      <c r="Q101" s="5" t="s">
        <v>1531</v>
      </c>
      <c r="R101" s="5" t="s">
        <v>1532</v>
      </c>
      <c r="S101" s="7">
        <v>90000</v>
      </c>
      <c r="T101" s="5" t="s">
        <v>449</v>
      </c>
      <c r="U101" s="5" t="s">
        <v>1533</v>
      </c>
      <c r="V101" s="5" t="s">
        <v>1534</v>
      </c>
      <c r="W101" s="5" t="s">
        <v>1535</v>
      </c>
      <c r="X101" s="5" t="s">
        <v>1536</v>
      </c>
      <c r="Y101" s="5" t="s">
        <v>1333</v>
      </c>
      <c r="Z101" s="5" t="s">
        <v>1537</v>
      </c>
      <c r="AA101" s="5" t="s">
        <v>1538</v>
      </c>
      <c r="AB101" s="5" t="s">
        <v>1539</v>
      </c>
      <c r="AC101" s="5" t="s">
        <v>164</v>
      </c>
      <c r="AD101" s="5" t="s">
        <v>1540</v>
      </c>
      <c r="AE101" s="5">
        <v>2</v>
      </c>
      <c r="AF101" s="5" t="s">
        <v>1541</v>
      </c>
      <c r="AG101" s="5" t="s">
        <v>1542</v>
      </c>
      <c r="AH101" s="8" t="s">
        <v>3233</v>
      </c>
      <c r="AI101" s="5">
        <v>31735066267588</v>
      </c>
    </row>
    <row r="102" spans="1:35" ht="63.75" x14ac:dyDescent="0.4">
      <c r="A102" s="4">
        <v>2</v>
      </c>
      <c r="B102" s="5" t="s">
        <v>1543</v>
      </c>
      <c r="C102" s="5" t="s">
        <v>95</v>
      </c>
      <c r="D102" s="5" t="s">
        <v>96</v>
      </c>
      <c r="E102" s="5" t="s">
        <v>560</v>
      </c>
      <c r="F102" s="5" t="s">
        <v>1468</v>
      </c>
      <c r="G102" s="5" t="s">
        <v>1496</v>
      </c>
      <c r="H102" s="4">
        <v>1910</v>
      </c>
      <c r="I102" s="5" t="s">
        <v>1544</v>
      </c>
      <c r="J102" s="5" t="s">
        <v>41</v>
      </c>
      <c r="K102" s="5" t="s">
        <v>1528</v>
      </c>
      <c r="L102" s="5" t="s">
        <v>1545</v>
      </c>
      <c r="M102" s="5" t="s">
        <v>259</v>
      </c>
      <c r="N102" s="5" t="s">
        <v>1546</v>
      </c>
      <c r="O102" s="5" t="s">
        <v>530</v>
      </c>
      <c r="P102" s="5" t="s">
        <v>530</v>
      </c>
      <c r="Q102" s="5" t="s">
        <v>1547</v>
      </c>
      <c r="R102" s="5" t="s">
        <v>1548</v>
      </c>
      <c r="S102" s="7">
        <v>148000</v>
      </c>
      <c r="T102" s="5" t="s">
        <v>449</v>
      </c>
      <c r="U102" s="5" t="s">
        <v>1549</v>
      </c>
      <c r="V102" s="5" t="s">
        <v>1550</v>
      </c>
      <c r="W102" s="5" t="s">
        <v>1551</v>
      </c>
      <c r="X102" s="5" t="s">
        <v>1552</v>
      </c>
      <c r="Y102" s="5" t="s">
        <v>1553</v>
      </c>
      <c r="Z102" s="5" t="s">
        <v>1554</v>
      </c>
      <c r="AA102" s="5" t="s">
        <v>1555</v>
      </c>
      <c r="AB102" s="5"/>
      <c r="AC102" s="5" t="s">
        <v>164</v>
      </c>
      <c r="AD102" s="5" t="s">
        <v>1556</v>
      </c>
      <c r="AE102" s="5">
        <v>1</v>
      </c>
      <c r="AF102" s="5" t="s">
        <v>1557</v>
      </c>
      <c r="AG102" s="5" t="s">
        <v>1542</v>
      </c>
      <c r="AH102" s="8" t="s">
        <v>3233</v>
      </c>
      <c r="AI102" s="5">
        <v>31735068223357</v>
      </c>
    </row>
    <row r="103" spans="1:35" ht="38.25" x14ac:dyDescent="0.4">
      <c r="A103" s="4">
        <v>2</v>
      </c>
      <c r="B103" s="5">
        <v>94</v>
      </c>
      <c r="C103" s="5" t="s">
        <v>243</v>
      </c>
      <c r="D103" s="5" t="s">
        <v>1558</v>
      </c>
      <c r="E103" s="5" t="s">
        <v>1559</v>
      </c>
      <c r="F103" s="5" t="s">
        <v>1560</v>
      </c>
      <c r="G103" s="5" t="s">
        <v>1561</v>
      </c>
      <c r="H103" s="4">
        <v>1913</v>
      </c>
      <c r="I103" s="5" t="s">
        <v>1410</v>
      </c>
      <c r="J103" s="5" t="s">
        <v>41</v>
      </c>
      <c r="K103" s="5" t="s">
        <v>1562</v>
      </c>
      <c r="L103" s="5" t="s">
        <v>1563</v>
      </c>
      <c r="M103" s="5" t="s">
        <v>735</v>
      </c>
      <c r="N103" s="5" t="s">
        <v>1564</v>
      </c>
      <c r="O103" s="5" t="s">
        <v>45</v>
      </c>
      <c r="P103" s="5" t="s">
        <v>45</v>
      </c>
      <c r="Q103" s="5" t="s">
        <v>1565</v>
      </c>
      <c r="R103" s="5" t="s">
        <v>1566</v>
      </c>
      <c r="S103" s="7">
        <v>130</v>
      </c>
      <c r="T103" s="5" t="s">
        <v>67</v>
      </c>
      <c r="U103" s="5"/>
      <c r="V103" s="5" t="s">
        <v>1567</v>
      </c>
      <c r="W103" s="5"/>
      <c r="X103" s="5" t="s">
        <v>1568</v>
      </c>
      <c r="Y103" s="5"/>
      <c r="Z103" s="5"/>
      <c r="AA103" s="5" t="s">
        <v>1569</v>
      </c>
      <c r="AB103" s="5" t="s">
        <v>1570</v>
      </c>
      <c r="AC103" s="5" t="s">
        <v>50</v>
      </c>
      <c r="AD103" s="5" t="s">
        <v>1571</v>
      </c>
      <c r="AE103" s="5">
        <v>1</v>
      </c>
      <c r="AF103" s="5" t="s">
        <v>1572</v>
      </c>
      <c r="AG103" s="5">
        <v>1913</v>
      </c>
      <c r="AH103" s="8" t="s">
        <v>3233</v>
      </c>
      <c r="AI103" s="5">
        <v>31735064607736</v>
      </c>
    </row>
    <row r="104" spans="1:35" ht="38.25" x14ac:dyDescent="0.4">
      <c r="A104" s="4">
        <v>2</v>
      </c>
      <c r="B104" s="5">
        <v>95</v>
      </c>
      <c r="C104" s="5" t="s">
        <v>243</v>
      </c>
      <c r="D104" s="5" t="s">
        <v>1558</v>
      </c>
      <c r="E104" s="5" t="s">
        <v>1559</v>
      </c>
      <c r="F104" s="5" t="s">
        <v>1560</v>
      </c>
      <c r="G104" s="5" t="s">
        <v>1573</v>
      </c>
      <c r="H104" s="4">
        <v>1913</v>
      </c>
      <c r="I104" s="5" t="s">
        <v>1574</v>
      </c>
      <c r="J104" s="5" t="s">
        <v>41</v>
      </c>
      <c r="K104" s="5" t="s">
        <v>1575</v>
      </c>
      <c r="L104" s="5" t="s">
        <v>1090</v>
      </c>
      <c r="M104" s="5" t="s">
        <v>735</v>
      </c>
      <c r="N104" s="5" t="s">
        <v>1576</v>
      </c>
      <c r="O104" s="5" t="s">
        <v>45</v>
      </c>
      <c r="P104" s="5" t="s">
        <v>45</v>
      </c>
      <c r="Q104" s="5" t="s">
        <v>1577</v>
      </c>
      <c r="R104" s="5" t="s">
        <v>1578</v>
      </c>
      <c r="S104" s="7">
        <v>138</v>
      </c>
      <c r="T104" s="5" t="s">
        <v>634</v>
      </c>
      <c r="U104" s="5"/>
      <c r="V104" s="5" t="s">
        <v>1579</v>
      </c>
      <c r="W104" s="5"/>
      <c r="X104" s="5" t="s">
        <v>1580</v>
      </c>
      <c r="Y104" s="5"/>
      <c r="Z104" s="5"/>
      <c r="AA104" s="5" t="s">
        <v>1581</v>
      </c>
      <c r="AB104" s="5" t="s">
        <v>1582</v>
      </c>
      <c r="AC104" s="5" t="s">
        <v>50</v>
      </c>
      <c r="AD104" s="5" t="s">
        <v>1583</v>
      </c>
      <c r="AE104" s="5">
        <v>1</v>
      </c>
      <c r="AF104" s="5" t="s">
        <v>1584</v>
      </c>
      <c r="AG104" s="5">
        <v>1913</v>
      </c>
      <c r="AH104" s="8" t="s">
        <v>3233</v>
      </c>
      <c r="AI104" s="5">
        <v>31735064607744</v>
      </c>
    </row>
    <row r="105" spans="1:35" ht="38.25" x14ac:dyDescent="0.4">
      <c r="A105" s="4">
        <v>2</v>
      </c>
      <c r="B105" s="5">
        <v>96</v>
      </c>
      <c r="C105" s="5" t="s">
        <v>243</v>
      </c>
      <c r="D105" s="5" t="s">
        <v>1558</v>
      </c>
      <c r="E105" s="5" t="s">
        <v>1559</v>
      </c>
      <c r="F105" s="5" t="s">
        <v>1560</v>
      </c>
      <c r="G105" s="5" t="s">
        <v>1585</v>
      </c>
      <c r="H105" s="4">
        <v>1913</v>
      </c>
      <c r="I105" s="5" t="s">
        <v>256</v>
      </c>
      <c r="J105" s="5" t="s">
        <v>41</v>
      </c>
      <c r="K105" s="5" t="s">
        <v>1586</v>
      </c>
      <c r="L105" s="5" t="s">
        <v>327</v>
      </c>
      <c r="M105" s="5" t="s">
        <v>735</v>
      </c>
      <c r="N105" s="5" t="s">
        <v>1587</v>
      </c>
      <c r="O105" s="5" t="s">
        <v>261</v>
      </c>
      <c r="P105" s="5" t="s">
        <v>261</v>
      </c>
      <c r="Q105" s="5" t="s">
        <v>1588</v>
      </c>
      <c r="R105" s="5" t="s">
        <v>1589</v>
      </c>
      <c r="S105" s="7">
        <v>14</v>
      </c>
      <c r="T105" s="5" t="s">
        <v>67</v>
      </c>
      <c r="U105" s="5"/>
      <c r="V105" s="5" t="s">
        <v>1590</v>
      </c>
      <c r="W105" s="5"/>
      <c r="X105" s="5" t="s">
        <v>1591</v>
      </c>
      <c r="Y105" s="5" t="s">
        <v>1592</v>
      </c>
      <c r="Z105" s="5"/>
      <c r="AA105" s="5" t="s">
        <v>1593</v>
      </c>
      <c r="AB105" s="5" t="s">
        <v>1594</v>
      </c>
      <c r="AC105" s="5" t="s">
        <v>50</v>
      </c>
      <c r="AD105" s="5" t="s">
        <v>1595</v>
      </c>
      <c r="AE105" s="5">
        <v>1</v>
      </c>
      <c r="AF105" s="5" t="s">
        <v>1596</v>
      </c>
      <c r="AG105" s="5">
        <v>1913</v>
      </c>
      <c r="AH105" s="8" t="s">
        <v>3233</v>
      </c>
      <c r="AI105" s="5">
        <v>31735064607884</v>
      </c>
    </row>
    <row r="106" spans="1:35" ht="38.25" x14ac:dyDescent="0.4">
      <c r="A106" s="4">
        <v>2</v>
      </c>
      <c r="B106" s="5">
        <v>97</v>
      </c>
      <c r="C106" s="5" t="s">
        <v>243</v>
      </c>
      <c r="D106" s="5" t="s">
        <v>1558</v>
      </c>
      <c r="E106" s="5" t="s">
        <v>1559</v>
      </c>
      <c r="F106" s="5" t="s">
        <v>1560</v>
      </c>
      <c r="G106" s="5" t="s">
        <v>1597</v>
      </c>
      <c r="H106" s="4">
        <v>1913</v>
      </c>
      <c r="I106" s="5" t="s">
        <v>896</v>
      </c>
      <c r="J106" s="5" t="s">
        <v>41</v>
      </c>
      <c r="K106" s="5" t="s">
        <v>1598</v>
      </c>
      <c r="L106" s="5" t="s">
        <v>1090</v>
      </c>
      <c r="M106" s="5" t="s">
        <v>735</v>
      </c>
      <c r="N106" s="5" t="s">
        <v>1587</v>
      </c>
      <c r="O106" s="5" t="s">
        <v>45</v>
      </c>
      <c r="P106" s="5" t="s">
        <v>45</v>
      </c>
      <c r="Q106" s="5" t="s">
        <v>1599</v>
      </c>
      <c r="R106" s="5" t="s">
        <v>1600</v>
      </c>
      <c r="S106" s="7">
        <v>108</v>
      </c>
      <c r="T106" s="5" t="s">
        <v>634</v>
      </c>
      <c r="U106" s="5"/>
      <c r="V106" s="5" t="s">
        <v>1601</v>
      </c>
      <c r="W106" s="5"/>
      <c r="X106" s="5" t="s">
        <v>1602</v>
      </c>
      <c r="Y106" s="5"/>
      <c r="Z106" s="5"/>
      <c r="AA106" s="5" t="s">
        <v>1603</v>
      </c>
      <c r="AB106" s="5"/>
      <c r="AC106" s="5" t="s">
        <v>50</v>
      </c>
      <c r="AD106" s="5" t="s">
        <v>1604</v>
      </c>
      <c r="AE106" s="5">
        <v>1</v>
      </c>
      <c r="AF106" s="5" t="s">
        <v>910</v>
      </c>
      <c r="AG106" s="5">
        <v>1913</v>
      </c>
      <c r="AH106" s="8" t="s">
        <v>3233</v>
      </c>
      <c r="AI106" s="5">
        <v>31735064607694</v>
      </c>
    </row>
    <row r="107" spans="1:35" ht="38.25" x14ac:dyDescent="0.4">
      <c r="A107" s="4">
        <v>2</v>
      </c>
      <c r="B107" s="5">
        <v>98</v>
      </c>
      <c r="C107" s="5" t="s">
        <v>243</v>
      </c>
      <c r="D107" s="5" t="s">
        <v>1558</v>
      </c>
      <c r="E107" s="5" t="s">
        <v>1559</v>
      </c>
      <c r="F107" s="5" t="s">
        <v>1560</v>
      </c>
      <c r="G107" s="5" t="s">
        <v>1605</v>
      </c>
      <c r="H107" s="4">
        <v>1913</v>
      </c>
      <c r="I107" s="5" t="s">
        <v>1606</v>
      </c>
      <c r="J107" s="5" t="s">
        <v>41</v>
      </c>
      <c r="K107" s="5" t="s">
        <v>1607</v>
      </c>
      <c r="L107" s="5" t="s">
        <v>1608</v>
      </c>
      <c r="M107" s="5" t="s">
        <v>81</v>
      </c>
      <c r="N107" s="5" t="s">
        <v>1609</v>
      </c>
      <c r="O107" s="5" t="s">
        <v>45</v>
      </c>
      <c r="P107" s="5" t="s">
        <v>45</v>
      </c>
      <c r="Q107" s="5" t="s">
        <v>1610</v>
      </c>
      <c r="R107" s="5" t="s">
        <v>1611</v>
      </c>
      <c r="S107" s="7">
        <v>17</v>
      </c>
      <c r="T107" s="5" t="s">
        <v>634</v>
      </c>
      <c r="U107" s="5"/>
      <c r="V107" s="5" t="s">
        <v>1612</v>
      </c>
      <c r="W107" s="5"/>
      <c r="X107" s="5" t="s">
        <v>1613</v>
      </c>
      <c r="Y107" s="5"/>
      <c r="Z107" s="5"/>
      <c r="AA107" s="5" t="s">
        <v>1614</v>
      </c>
      <c r="AB107" s="5" t="s">
        <v>1615</v>
      </c>
      <c r="AC107" s="5" t="s">
        <v>50</v>
      </c>
      <c r="AD107" s="5" t="s">
        <v>1616</v>
      </c>
      <c r="AE107" s="5">
        <v>1</v>
      </c>
      <c r="AF107" s="5" t="s">
        <v>1617</v>
      </c>
      <c r="AG107" s="5">
        <v>1913</v>
      </c>
      <c r="AH107" s="8" t="s">
        <v>3233</v>
      </c>
      <c r="AI107" s="5">
        <v>31735066266531</v>
      </c>
    </row>
    <row r="108" spans="1:35" ht="38.25" x14ac:dyDescent="0.4">
      <c r="A108" s="4">
        <v>2</v>
      </c>
      <c r="B108" s="5">
        <v>99</v>
      </c>
      <c r="C108" s="5" t="s">
        <v>243</v>
      </c>
      <c r="D108" s="5" t="s">
        <v>1558</v>
      </c>
      <c r="E108" s="5" t="s">
        <v>1559</v>
      </c>
      <c r="F108" s="5" t="s">
        <v>1560</v>
      </c>
      <c r="G108" s="5" t="s">
        <v>1618</v>
      </c>
      <c r="H108" s="4">
        <v>1913</v>
      </c>
      <c r="I108" s="5" t="s">
        <v>1619</v>
      </c>
      <c r="J108" s="5" t="s">
        <v>41</v>
      </c>
      <c r="K108" s="5" t="s">
        <v>1620</v>
      </c>
      <c r="L108" s="5" t="s">
        <v>1047</v>
      </c>
      <c r="M108" s="5" t="s">
        <v>735</v>
      </c>
      <c r="N108" s="5" t="s">
        <v>1621</v>
      </c>
      <c r="O108" s="5" t="s">
        <v>83</v>
      </c>
      <c r="P108" s="5" t="s">
        <v>248</v>
      </c>
      <c r="Q108" s="5" t="s">
        <v>1622</v>
      </c>
      <c r="R108" s="5" t="s">
        <v>1623</v>
      </c>
      <c r="S108" s="7">
        <v>302</v>
      </c>
      <c r="T108" s="5" t="s">
        <v>67</v>
      </c>
      <c r="U108" s="5"/>
      <c r="V108" s="5" t="s">
        <v>1624</v>
      </c>
      <c r="W108" s="5"/>
      <c r="X108" s="5" t="s">
        <v>1625</v>
      </c>
      <c r="Y108" s="5"/>
      <c r="Z108" s="5"/>
      <c r="AA108" s="5" t="s">
        <v>1626</v>
      </c>
      <c r="AB108" s="5"/>
      <c r="AC108" s="5" t="s">
        <v>50</v>
      </c>
      <c r="AD108" s="5" t="s">
        <v>1627</v>
      </c>
      <c r="AE108" s="5">
        <v>1</v>
      </c>
      <c r="AF108" s="5" t="s">
        <v>1628</v>
      </c>
      <c r="AG108" s="5">
        <v>1913</v>
      </c>
      <c r="AH108" s="8" t="s">
        <v>3233</v>
      </c>
      <c r="AI108" s="5">
        <v>31735066267919</v>
      </c>
    </row>
    <row r="109" spans="1:35" ht="38.25" x14ac:dyDescent="0.4">
      <c r="A109" s="4">
        <v>2</v>
      </c>
      <c r="B109" s="5">
        <v>100</v>
      </c>
      <c r="C109" s="5" t="s">
        <v>243</v>
      </c>
      <c r="D109" s="5" t="s">
        <v>1558</v>
      </c>
      <c r="E109" s="5" t="s">
        <v>1559</v>
      </c>
      <c r="F109" s="5" t="s">
        <v>1560</v>
      </c>
      <c r="G109" s="5" t="s">
        <v>1629</v>
      </c>
      <c r="H109" s="4">
        <v>1913</v>
      </c>
      <c r="I109" s="5" t="s">
        <v>1630</v>
      </c>
      <c r="J109" s="5" t="s">
        <v>41</v>
      </c>
      <c r="K109" s="5" t="s">
        <v>1631</v>
      </c>
      <c r="L109" s="5" t="s">
        <v>1632</v>
      </c>
      <c r="M109" s="5" t="s">
        <v>769</v>
      </c>
      <c r="N109" s="5" t="s">
        <v>1633</v>
      </c>
      <c r="O109" s="5" t="s">
        <v>83</v>
      </c>
      <c r="P109" s="5" t="s">
        <v>1634</v>
      </c>
      <c r="Q109" s="5" t="s">
        <v>1635</v>
      </c>
      <c r="R109" s="5" t="s">
        <v>1636</v>
      </c>
      <c r="S109" s="7">
        <v>70</v>
      </c>
      <c r="T109" s="5" t="s">
        <v>634</v>
      </c>
      <c r="U109" s="5"/>
      <c r="V109" s="5"/>
      <c r="W109" s="5"/>
      <c r="X109" s="5" t="s">
        <v>1637</v>
      </c>
      <c r="Y109" s="5"/>
      <c r="Z109" s="5"/>
      <c r="AA109" s="5" t="s">
        <v>1638</v>
      </c>
      <c r="AB109" s="5"/>
      <c r="AC109" s="5" t="s">
        <v>50</v>
      </c>
      <c r="AD109" s="5" t="s">
        <v>1639</v>
      </c>
      <c r="AE109" s="5">
        <v>1</v>
      </c>
      <c r="AF109" s="5" t="s">
        <v>1640</v>
      </c>
      <c r="AG109" s="5">
        <v>1913</v>
      </c>
      <c r="AH109" s="8" t="s">
        <v>3233</v>
      </c>
      <c r="AI109" s="5">
        <v>31735066237482</v>
      </c>
    </row>
    <row r="110" spans="1:35" ht="63.75" x14ac:dyDescent="0.4">
      <c r="A110" s="4">
        <v>2</v>
      </c>
      <c r="B110" s="5" t="s">
        <v>1641</v>
      </c>
      <c r="C110" s="5" t="s">
        <v>243</v>
      </c>
      <c r="D110" s="5" t="s">
        <v>1558</v>
      </c>
      <c r="E110" s="5" t="s">
        <v>1559</v>
      </c>
      <c r="F110" s="5" t="s">
        <v>1560</v>
      </c>
      <c r="G110" s="5" t="s">
        <v>1642</v>
      </c>
      <c r="H110" s="4">
        <v>1913</v>
      </c>
      <c r="I110" s="5"/>
      <c r="J110" s="5" t="s">
        <v>61</v>
      </c>
      <c r="K110" s="5" t="s">
        <v>1643</v>
      </c>
      <c r="L110" s="5" t="s">
        <v>1644</v>
      </c>
      <c r="M110" s="5" t="s">
        <v>1378</v>
      </c>
      <c r="N110" s="5" t="s">
        <v>1378</v>
      </c>
      <c r="O110" s="5" t="s">
        <v>433</v>
      </c>
      <c r="P110" s="5" t="s">
        <v>1645</v>
      </c>
      <c r="Q110" s="5" t="s">
        <v>1646</v>
      </c>
      <c r="R110" s="5" t="s">
        <v>1647</v>
      </c>
      <c r="S110" s="7">
        <v>150</v>
      </c>
      <c r="T110" s="5" t="s">
        <v>634</v>
      </c>
      <c r="U110" s="5"/>
      <c r="V110" s="5"/>
      <c r="W110" s="5"/>
      <c r="X110" s="5" t="s">
        <v>1648</v>
      </c>
      <c r="Y110" s="5"/>
      <c r="Z110" s="5" t="s">
        <v>1649</v>
      </c>
      <c r="AA110" s="5" t="s">
        <v>1650</v>
      </c>
      <c r="AB110" s="5"/>
      <c r="AC110" s="5" t="s">
        <v>313</v>
      </c>
      <c r="AD110" s="5" t="s">
        <v>1651</v>
      </c>
      <c r="AE110" s="5">
        <v>1</v>
      </c>
      <c r="AF110" s="5" t="s">
        <v>1652</v>
      </c>
      <c r="AG110" s="5" t="s">
        <v>1653</v>
      </c>
      <c r="AH110" s="8" t="s">
        <v>3233</v>
      </c>
      <c r="AI110" s="5">
        <v>31735068223365</v>
      </c>
    </row>
    <row r="111" spans="1:35" ht="38.25" x14ac:dyDescent="0.4">
      <c r="A111" s="4">
        <v>2</v>
      </c>
      <c r="B111" s="5">
        <v>101</v>
      </c>
      <c r="C111" s="5" t="s">
        <v>243</v>
      </c>
      <c r="D111" s="5" t="s">
        <v>1558</v>
      </c>
      <c r="E111" s="5" t="s">
        <v>1559</v>
      </c>
      <c r="F111" s="5" t="s">
        <v>1560</v>
      </c>
      <c r="G111" s="5" t="s">
        <v>1654</v>
      </c>
      <c r="H111" s="4">
        <v>1915</v>
      </c>
      <c r="I111" s="5" t="s">
        <v>1655</v>
      </c>
      <c r="J111" s="5" t="s">
        <v>41</v>
      </c>
      <c r="K111" s="5" t="s">
        <v>1656</v>
      </c>
      <c r="L111" s="5" t="s">
        <v>1657</v>
      </c>
      <c r="M111" s="5" t="s">
        <v>735</v>
      </c>
      <c r="N111" s="5" t="s">
        <v>1658</v>
      </c>
      <c r="O111" s="5" t="s">
        <v>83</v>
      </c>
      <c r="P111" s="5" t="s">
        <v>248</v>
      </c>
      <c r="Q111" s="5" t="s">
        <v>1659</v>
      </c>
      <c r="R111" s="5" t="s">
        <v>1660</v>
      </c>
      <c r="S111" s="7">
        <v>100</v>
      </c>
      <c r="T111" s="5" t="s">
        <v>634</v>
      </c>
      <c r="U111" s="5" t="s">
        <v>1661</v>
      </c>
      <c r="V111" s="5"/>
      <c r="W111" s="5"/>
      <c r="X111" s="5" t="s">
        <v>1662</v>
      </c>
      <c r="Y111" s="5" t="s">
        <v>1663</v>
      </c>
      <c r="Z111" s="5"/>
      <c r="AA111" s="5" t="s">
        <v>1664</v>
      </c>
      <c r="AB111" s="5" t="s">
        <v>1665</v>
      </c>
      <c r="AC111" s="5" t="s">
        <v>164</v>
      </c>
      <c r="AD111" s="5"/>
      <c r="AE111" s="5">
        <v>1</v>
      </c>
      <c r="AF111" s="5" t="s">
        <v>1666</v>
      </c>
      <c r="AG111" s="5">
        <v>1915</v>
      </c>
      <c r="AH111" s="8" t="s">
        <v>3233</v>
      </c>
      <c r="AI111" s="5">
        <v>31735066266283</v>
      </c>
    </row>
    <row r="112" spans="1:35" ht="38.25" x14ac:dyDescent="0.4">
      <c r="A112" s="4">
        <v>2</v>
      </c>
      <c r="B112" s="5">
        <v>102</v>
      </c>
      <c r="C112" s="5" t="s">
        <v>243</v>
      </c>
      <c r="D112" s="5" t="s">
        <v>1558</v>
      </c>
      <c r="E112" s="5" t="s">
        <v>1559</v>
      </c>
      <c r="F112" s="5" t="s">
        <v>1560</v>
      </c>
      <c r="G112" s="5" t="s">
        <v>1667</v>
      </c>
      <c r="H112" s="4">
        <v>1915</v>
      </c>
      <c r="I112" s="5" t="s">
        <v>1668</v>
      </c>
      <c r="J112" s="5" t="s">
        <v>41</v>
      </c>
      <c r="K112" s="5" t="s">
        <v>1669</v>
      </c>
      <c r="L112" s="5" t="s">
        <v>1670</v>
      </c>
      <c r="M112" s="5" t="s">
        <v>1671</v>
      </c>
      <c r="N112" s="5" t="s">
        <v>1672</v>
      </c>
      <c r="O112" s="5" t="s">
        <v>45</v>
      </c>
      <c r="P112" s="5" t="s">
        <v>45</v>
      </c>
      <c r="Q112" s="5" t="s">
        <v>1673</v>
      </c>
      <c r="R112" s="5" t="s">
        <v>1674</v>
      </c>
      <c r="S112" s="7"/>
      <c r="T112" s="5" t="s">
        <v>634</v>
      </c>
      <c r="U112" s="5" t="s">
        <v>1675</v>
      </c>
      <c r="V112" s="5"/>
      <c r="W112" s="5"/>
      <c r="X112" s="5" t="s">
        <v>1676</v>
      </c>
      <c r="Y112" s="5" t="s">
        <v>1663</v>
      </c>
      <c r="Z112" s="5"/>
      <c r="AA112" s="5" t="s">
        <v>1677</v>
      </c>
      <c r="AB112" s="5"/>
      <c r="AC112" s="5" t="s">
        <v>50</v>
      </c>
      <c r="AD112" s="5" t="s">
        <v>1678</v>
      </c>
      <c r="AE112" s="5">
        <v>1</v>
      </c>
      <c r="AF112" s="5" t="s">
        <v>1679</v>
      </c>
      <c r="AG112" s="5">
        <v>1915</v>
      </c>
      <c r="AH112" s="8" t="s">
        <v>3233</v>
      </c>
      <c r="AI112" s="5">
        <v>31735066266390</v>
      </c>
    </row>
    <row r="113" spans="1:35" ht="51" x14ac:dyDescent="0.4">
      <c r="A113" s="4">
        <v>2</v>
      </c>
      <c r="B113" s="5">
        <v>103</v>
      </c>
      <c r="C113" s="5" t="s">
        <v>243</v>
      </c>
      <c r="D113" s="5" t="s">
        <v>1558</v>
      </c>
      <c r="E113" s="5" t="s">
        <v>1559</v>
      </c>
      <c r="F113" s="5" t="s">
        <v>1560</v>
      </c>
      <c r="G113" s="5" t="s">
        <v>1680</v>
      </c>
      <c r="H113" s="4">
        <v>1915</v>
      </c>
      <c r="I113" s="5" t="s">
        <v>1681</v>
      </c>
      <c r="J113" s="5" t="s">
        <v>41</v>
      </c>
      <c r="K113" s="5" t="s">
        <v>1682</v>
      </c>
      <c r="L113" s="5" t="s">
        <v>1683</v>
      </c>
      <c r="M113" s="5" t="s">
        <v>171</v>
      </c>
      <c r="N113" s="5" t="s">
        <v>1684</v>
      </c>
      <c r="O113" s="5" t="s">
        <v>45</v>
      </c>
      <c r="P113" s="5" t="s">
        <v>45</v>
      </c>
      <c r="Q113" s="5" t="s">
        <v>1685</v>
      </c>
      <c r="R113" s="5" t="s">
        <v>1686</v>
      </c>
      <c r="S113" s="7">
        <v>42</v>
      </c>
      <c r="T113" s="5" t="s">
        <v>67</v>
      </c>
      <c r="U113" s="5" t="s">
        <v>1687</v>
      </c>
      <c r="V113" s="5"/>
      <c r="W113" s="5"/>
      <c r="X113" s="5" t="s">
        <v>1688</v>
      </c>
      <c r="Y113" s="5" t="s">
        <v>1592</v>
      </c>
      <c r="Z113" s="5"/>
      <c r="AA113" s="5" t="s">
        <v>1689</v>
      </c>
      <c r="AB113" s="5"/>
      <c r="AC113" s="5" t="s">
        <v>50</v>
      </c>
      <c r="AD113" s="5" t="s">
        <v>1690</v>
      </c>
      <c r="AE113" s="5">
        <v>1</v>
      </c>
      <c r="AF113" s="5" t="s">
        <v>1691</v>
      </c>
      <c r="AG113" s="5">
        <v>1915</v>
      </c>
      <c r="AH113" s="8" t="s">
        <v>3233</v>
      </c>
      <c r="AI113" s="5">
        <v>31735066237441</v>
      </c>
    </row>
    <row r="114" spans="1:35" ht="63.75" x14ac:dyDescent="0.4">
      <c r="A114" s="4">
        <v>2</v>
      </c>
      <c r="B114" s="5">
        <v>104</v>
      </c>
      <c r="C114" s="5" t="s">
        <v>95</v>
      </c>
      <c r="D114" s="5" t="s">
        <v>96</v>
      </c>
      <c r="E114" s="5" t="s">
        <v>560</v>
      </c>
      <c r="F114" s="5" t="s">
        <v>894</v>
      </c>
      <c r="G114" s="5" t="s">
        <v>1692</v>
      </c>
      <c r="H114" s="4">
        <v>1892</v>
      </c>
      <c r="I114" s="5" t="s">
        <v>1693</v>
      </c>
      <c r="J114" s="5" t="s">
        <v>41</v>
      </c>
      <c r="K114" s="5" t="s">
        <v>1694</v>
      </c>
      <c r="L114" s="5" t="s">
        <v>1695</v>
      </c>
      <c r="M114" s="5" t="s">
        <v>81</v>
      </c>
      <c r="N114" s="5" t="s">
        <v>1696</v>
      </c>
      <c r="O114" s="5" t="s">
        <v>582</v>
      </c>
      <c r="P114" s="5" t="s">
        <v>1697</v>
      </c>
      <c r="Q114" s="5" t="s">
        <v>1698</v>
      </c>
      <c r="R114" s="5" t="s">
        <v>1699</v>
      </c>
      <c r="S114" s="7">
        <v>50000</v>
      </c>
      <c r="T114" s="5" t="s">
        <v>449</v>
      </c>
      <c r="U114" s="5" t="s">
        <v>1700</v>
      </c>
      <c r="V114" s="5" t="s">
        <v>1701</v>
      </c>
      <c r="W114" s="5"/>
      <c r="X114" s="5" t="s">
        <v>1702</v>
      </c>
      <c r="Y114" s="5" t="s">
        <v>1703</v>
      </c>
      <c r="Z114" s="5" t="s">
        <v>1704</v>
      </c>
      <c r="AA114" s="5" t="s">
        <v>1705</v>
      </c>
      <c r="AB114" s="5" t="s">
        <v>1706</v>
      </c>
      <c r="AC114" s="5" t="s">
        <v>164</v>
      </c>
      <c r="AD114" s="5" t="s">
        <v>1707</v>
      </c>
      <c r="AE114" s="5">
        <v>2</v>
      </c>
      <c r="AF114" s="5" t="s">
        <v>1708</v>
      </c>
      <c r="AG114" s="5">
        <v>1916</v>
      </c>
      <c r="AH114" s="8" t="s">
        <v>3233</v>
      </c>
      <c r="AI114" s="5">
        <v>31735066267760</v>
      </c>
    </row>
    <row r="115" spans="1:35" ht="38.25" x14ac:dyDescent="0.4">
      <c r="A115" s="4">
        <v>2</v>
      </c>
      <c r="B115" s="5">
        <v>105</v>
      </c>
      <c r="C115" s="5" t="s">
        <v>53</v>
      </c>
      <c r="D115" s="5" t="s">
        <v>541</v>
      </c>
      <c r="E115" s="5" t="s">
        <v>1559</v>
      </c>
      <c r="F115" s="5" t="s">
        <v>1560</v>
      </c>
      <c r="G115" s="5" t="s">
        <v>1709</v>
      </c>
      <c r="H115" s="4">
        <v>1917</v>
      </c>
      <c r="I115" s="5" t="s">
        <v>1710</v>
      </c>
      <c r="J115" s="5" t="s">
        <v>41</v>
      </c>
      <c r="K115" s="5" t="s">
        <v>1711</v>
      </c>
      <c r="L115" s="5" t="s">
        <v>1712</v>
      </c>
      <c r="M115" s="5" t="s">
        <v>61</v>
      </c>
      <c r="N115" s="5" t="s">
        <v>1713</v>
      </c>
      <c r="O115" s="5" t="s">
        <v>933</v>
      </c>
      <c r="P115" s="5" t="s">
        <v>933</v>
      </c>
      <c r="Q115" s="5" t="s">
        <v>1714</v>
      </c>
      <c r="R115" s="5" t="s">
        <v>1715</v>
      </c>
      <c r="S115" s="7">
        <v>27</v>
      </c>
      <c r="T115" s="5" t="s">
        <v>468</v>
      </c>
      <c r="U115" s="5" t="s">
        <v>1716</v>
      </c>
      <c r="V115" s="5" t="s">
        <v>1717</v>
      </c>
      <c r="W115" s="5" t="s">
        <v>1718</v>
      </c>
      <c r="X115" s="5" t="s">
        <v>71</v>
      </c>
      <c r="Y115" s="5" t="s">
        <v>1719</v>
      </c>
      <c r="Z115" s="5"/>
      <c r="AA115" s="5" t="s">
        <v>1720</v>
      </c>
      <c r="AB115" s="5"/>
      <c r="AC115" s="5" t="s">
        <v>50</v>
      </c>
      <c r="AD115" s="5" t="s">
        <v>1721</v>
      </c>
      <c r="AE115" s="5">
        <v>1</v>
      </c>
      <c r="AF115" s="5" t="s">
        <v>1722</v>
      </c>
      <c r="AG115" s="5">
        <v>1917</v>
      </c>
      <c r="AH115" s="8" t="s">
        <v>3233</v>
      </c>
      <c r="AI115" s="5">
        <v>31735064607561</v>
      </c>
    </row>
    <row r="116" spans="1:35" ht="51" x14ac:dyDescent="0.4">
      <c r="A116" s="4">
        <v>2</v>
      </c>
      <c r="B116" s="5">
        <v>106</v>
      </c>
      <c r="C116" s="5" t="s">
        <v>95</v>
      </c>
      <c r="D116" s="5" t="s">
        <v>96</v>
      </c>
      <c r="E116" s="5" t="s">
        <v>1559</v>
      </c>
      <c r="F116" s="5" t="s">
        <v>1560</v>
      </c>
      <c r="G116" s="5" t="s">
        <v>1723</v>
      </c>
      <c r="H116" s="4">
        <v>1917</v>
      </c>
      <c r="I116" s="5" t="s">
        <v>1724</v>
      </c>
      <c r="J116" s="5" t="s">
        <v>41</v>
      </c>
      <c r="K116" s="5" t="s">
        <v>1725</v>
      </c>
      <c r="L116" s="5" t="s">
        <v>1726</v>
      </c>
      <c r="M116" s="5" t="s">
        <v>735</v>
      </c>
      <c r="N116" s="5" t="s">
        <v>1727</v>
      </c>
      <c r="O116" s="5" t="s">
        <v>83</v>
      </c>
      <c r="P116" s="5" t="s">
        <v>248</v>
      </c>
      <c r="Q116" s="5" t="s">
        <v>1728</v>
      </c>
      <c r="R116" s="5" t="s">
        <v>1729</v>
      </c>
      <c r="S116" s="7">
        <v>721</v>
      </c>
      <c r="T116" s="5" t="s">
        <v>634</v>
      </c>
      <c r="U116" s="5" t="s">
        <v>1730</v>
      </c>
      <c r="V116" s="5" t="s">
        <v>1731</v>
      </c>
      <c r="W116" s="5" t="s">
        <v>1732</v>
      </c>
      <c r="X116" s="5" t="s">
        <v>1733</v>
      </c>
      <c r="Y116" s="5" t="s">
        <v>1734</v>
      </c>
      <c r="Z116" s="5"/>
      <c r="AA116" s="5" t="s">
        <v>1735</v>
      </c>
      <c r="AB116" s="5" t="s">
        <v>1736</v>
      </c>
      <c r="AC116" s="5" t="s">
        <v>50</v>
      </c>
      <c r="AD116" s="5" t="s">
        <v>1737</v>
      </c>
      <c r="AE116" s="5">
        <v>1</v>
      </c>
      <c r="AF116" s="5" t="s">
        <v>1738</v>
      </c>
      <c r="AG116" s="5"/>
      <c r="AH116" s="8" t="s">
        <v>3233</v>
      </c>
      <c r="AI116" s="5">
        <v>31735066267638</v>
      </c>
    </row>
    <row r="117" spans="1:35" ht="89.25" x14ac:dyDescent="0.4">
      <c r="A117" s="4">
        <v>2</v>
      </c>
      <c r="B117" s="5">
        <v>107</v>
      </c>
      <c r="C117" s="5" t="s">
        <v>1197</v>
      </c>
      <c r="D117" s="5" t="s">
        <v>1197</v>
      </c>
      <c r="E117" s="5" t="s">
        <v>1559</v>
      </c>
      <c r="F117" s="5" t="s">
        <v>1560</v>
      </c>
      <c r="G117" s="5" t="s">
        <v>1739</v>
      </c>
      <c r="H117" s="4">
        <v>1917</v>
      </c>
      <c r="I117" s="5"/>
      <c r="J117" s="5" t="s">
        <v>429</v>
      </c>
      <c r="K117" s="5" t="s">
        <v>1740</v>
      </c>
      <c r="L117" s="5" t="s">
        <v>1741</v>
      </c>
      <c r="M117" s="5" t="s">
        <v>1378</v>
      </c>
      <c r="N117" s="5" t="s">
        <v>1742</v>
      </c>
      <c r="O117" s="5" t="s">
        <v>45</v>
      </c>
      <c r="P117" s="5" t="s">
        <v>45</v>
      </c>
      <c r="Q117" s="5" t="s">
        <v>1743</v>
      </c>
      <c r="R117" s="5" t="s">
        <v>1744</v>
      </c>
      <c r="S117" s="7"/>
      <c r="T117" s="5"/>
      <c r="U117" s="5"/>
      <c r="V117" s="5"/>
      <c r="W117" s="5"/>
      <c r="X117" s="5" t="s">
        <v>1745</v>
      </c>
      <c r="Y117" s="5"/>
      <c r="Z117" s="5" t="s">
        <v>1746</v>
      </c>
      <c r="AA117" s="5" t="s">
        <v>1747</v>
      </c>
      <c r="AB117" s="5" t="s">
        <v>1748</v>
      </c>
      <c r="AC117" s="5" t="s">
        <v>50</v>
      </c>
      <c r="AD117" s="5" t="s">
        <v>1749</v>
      </c>
      <c r="AE117" s="5">
        <v>25</v>
      </c>
      <c r="AF117" s="5" t="s">
        <v>1750</v>
      </c>
      <c r="AG117" s="5" t="s">
        <v>1751</v>
      </c>
      <c r="AH117" s="8" t="s">
        <v>3233</v>
      </c>
      <c r="AI117" s="5">
        <v>31735066237581</v>
      </c>
    </row>
    <row r="118" spans="1:35" ht="38.25" x14ac:dyDescent="0.4">
      <c r="A118" s="4">
        <v>2</v>
      </c>
      <c r="B118" s="5">
        <v>108</v>
      </c>
      <c r="C118" s="5" t="s">
        <v>95</v>
      </c>
      <c r="D118" s="5" t="s">
        <v>96</v>
      </c>
      <c r="E118" s="5" t="s">
        <v>1559</v>
      </c>
      <c r="F118" s="5" t="s">
        <v>1560</v>
      </c>
      <c r="G118" s="5" t="s">
        <v>1752</v>
      </c>
      <c r="H118" s="4">
        <v>1918</v>
      </c>
      <c r="I118" s="5" t="s">
        <v>1724</v>
      </c>
      <c r="J118" s="5" t="s">
        <v>41</v>
      </c>
      <c r="K118" s="5" t="s">
        <v>1753</v>
      </c>
      <c r="L118" s="5" t="s">
        <v>1754</v>
      </c>
      <c r="M118" s="5" t="s">
        <v>735</v>
      </c>
      <c r="N118" s="5" t="s">
        <v>1755</v>
      </c>
      <c r="O118" s="5" t="s">
        <v>83</v>
      </c>
      <c r="P118" s="5" t="s">
        <v>248</v>
      </c>
      <c r="Q118" s="5" t="s">
        <v>1756</v>
      </c>
      <c r="R118" s="5" t="s">
        <v>1757</v>
      </c>
      <c r="S118" s="7">
        <v>700</v>
      </c>
      <c r="T118" s="5" t="s">
        <v>634</v>
      </c>
      <c r="U118" s="5" t="s">
        <v>1758</v>
      </c>
      <c r="V118" s="5"/>
      <c r="W118" s="5"/>
      <c r="X118" s="5" t="s">
        <v>1759</v>
      </c>
      <c r="Y118" s="5" t="s">
        <v>1663</v>
      </c>
      <c r="Z118" s="5"/>
      <c r="AA118" s="5" t="s">
        <v>1760</v>
      </c>
      <c r="AB118" s="5" t="s">
        <v>1761</v>
      </c>
      <c r="AC118" s="5" t="s">
        <v>164</v>
      </c>
      <c r="AD118" s="5" t="s">
        <v>1762</v>
      </c>
      <c r="AE118" s="5">
        <v>1</v>
      </c>
      <c r="AF118" s="5" t="s">
        <v>1763</v>
      </c>
      <c r="AG118" s="5">
        <v>1918</v>
      </c>
      <c r="AH118" s="8" t="s">
        <v>3233</v>
      </c>
      <c r="AI118" s="5">
        <v>31735064607504</v>
      </c>
    </row>
    <row r="119" spans="1:35" ht="89.25" x14ac:dyDescent="0.4">
      <c r="A119" s="4">
        <v>2</v>
      </c>
      <c r="B119" s="5" t="s">
        <v>1764</v>
      </c>
      <c r="C119" s="5" t="s">
        <v>150</v>
      </c>
      <c r="D119" s="5" t="s">
        <v>151</v>
      </c>
      <c r="E119" s="5" t="s">
        <v>1559</v>
      </c>
      <c r="F119" s="5" t="s">
        <v>1560</v>
      </c>
      <c r="G119" s="5" t="s">
        <v>1765</v>
      </c>
      <c r="H119" s="4">
        <v>1918</v>
      </c>
      <c r="I119" s="5" t="s">
        <v>1766</v>
      </c>
      <c r="J119" s="5" t="s">
        <v>414</v>
      </c>
      <c r="K119" s="5" t="s">
        <v>1767</v>
      </c>
      <c r="L119" s="5" t="s">
        <v>1726</v>
      </c>
      <c r="M119" s="5" t="s">
        <v>735</v>
      </c>
      <c r="N119" s="5" t="s">
        <v>1768</v>
      </c>
      <c r="O119" s="5" t="s">
        <v>83</v>
      </c>
      <c r="P119" s="5" t="s">
        <v>248</v>
      </c>
      <c r="Q119" s="5" t="s">
        <v>1769</v>
      </c>
      <c r="R119" s="5" t="s">
        <v>1770</v>
      </c>
      <c r="S119" s="7">
        <v>300</v>
      </c>
      <c r="T119" s="5" t="s">
        <v>634</v>
      </c>
      <c r="U119" s="5" t="s">
        <v>1771</v>
      </c>
      <c r="V119" s="5" t="s">
        <v>1772</v>
      </c>
      <c r="W119" s="5" t="s">
        <v>1732</v>
      </c>
      <c r="X119" s="5" t="s">
        <v>1773</v>
      </c>
      <c r="Y119" s="5" t="s">
        <v>1774</v>
      </c>
      <c r="Z119" s="5" t="s">
        <v>1775</v>
      </c>
      <c r="AA119" s="5" t="s">
        <v>1776</v>
      </c>
      <c r="AB119" s="5"/>
      <c r="AC119" s="5" t="s">
        <v>164</v>
      </c>
      <c r="AD119" s="5" t="s">
        <v>1777</v>
      </c>
      <c r="AE119" s="5">
        <v>2</v>
      </c>
      <c r="AF119" s="5" t="s">
        <v>1778</v>
      </c>
      <c r="AG119" s="5" t="s">
        <v>1779</v>
      </c>
      <c r="AH119" s="8" t="s">
        <v>3233</v>
      </c>
      <c r="AI119" s="5">
        <v>31735068223373</v>
      </c>
    </row>
    <row r="120" spans="1:35" ht="38.25" x14ac:dyDescent="0.4">
      <c r="A120" s="4">
        <v>2</v>
      </c>
      <c r="B120" s="5">
        <v>109</v>
      </c>
      <c r="C120" s="5" t="s">
        <v>53</v>
      </c>
      <c r="D120" s="5" t="s">
        <v>541</v>
      </c>
      <c r="E120" s="5" t="s">
        <v>1559</v>
      </c>
      <c r="F120" s="5" t="s">
        <v>1560</v>
      </c>
      <c r="G120" s="5" t="s">
        <v>1780</v>
      </c>
      <c r="H120" s="4">
        <v>1920</v>
      </c>
      <c r="I120" s="5" t="s">
        <v>1781</v>
      </c>
      <c r="J120" s="5" t="s">
        <v>414</v>
      </c>
      <c r="K120" s="5" t="s">
        <v>1782</v>
      </c>
      <c r="L120" s="5" t="s">
        <v>1783</v>
      </c>
      <c r="M120" s="5" t="s">
        <v>735</v>
      </c>
      <c r="N120" s="5" t="s">
        <v>1784</v>
      </c>
      <c r="O120" s="5" t="s">
        <v>582</v>
      </c>
      <c r="P120" s="5" t="s">
        <v>1785</v>
      </c>
      <c r="Q120" s="5" t="s">
        <v>1786</v>
      </c>
      <c r="R120" s="5" t="s">
        <v>1787</v>
      </c>
      <c r="S120" s="7">
        <v>32</v>
      </c>
      <c r="T120" s="5" t="s">
        <v>634</v>
      </c>
      <c r="U120" s="5" t="s">
        <v>1788</v>
      </c>
      <c r="V120" s="5" t="s">
        <v>1789</v>
      </c>
      <c r="W120" s="5" t="s">
        <v>1790</v>
      </c>
      <c r="X120" s="5" t="s">
        <v>1791</v>
      </c>
      <c r="Y120" s="5" t="s">
        <v>1450</v>
      </c>
      <c r="Z120" s="5"/>
      <c r="AA120" s="5" t="s">
        <v>1792</v>
      </c>
      <c r="AB120" s="5"/>
      <c r="AC120" s="5" t="s">
        <v>164</v>
      </c>
      <c r="AD120" s="5" t="s">
        <v>1793</v>
      </c>
      <c r="AE120" s="5">
        <v>1</v>
      </c>
      <c r="AF120" s="5" t="s">
        <v>1794</v>
      </c>
      <c r="AG120" s="5">
        <v>1920</v>
      </c>
      <c r="AH120" s="8" t="s">
        <v>3233</v>
      </c>
      <c r="AI120" s="5">
        <v>31735066237425</v>
      </c>
    </row>
    <row r="121" spans="1:35" ht="51" x14ac:dyDescent="0.4">
      <c r="A121" s="4">
        <v>2</v>
      </c>
      <c r="B121" s="5">
        <v>110</v>
      </c>
      <c r="C121" s="5" t="s">
        <v>1197</v>
      </c>
      <c r="D121" s="5" t="s">
        <v>1197</v>
      </c>
      <c r="E121" s="5" t="s">
        <v>1559</v>
      </c>
      <c r="F121" s="5" t="s">
        <v>1560</v>
      </c>
      <c r="G121" s="5" t="s">
        <v>1795</v>
      </c>
      <c r="H121" s="4">
        <v>1925</v>
      </c>
      <c r="I121" s="5"/>
      <c r="J121" s="5" t="s">
        <v>429</v>
      </c>
      <c r="K121" s="5" t="s">
        <v>1796</v>
      </c>
      <c r="L121" s="5" t="s">
        <v>1797</v>
      </c>
      <c r="M121" s="5" t="s">
        <v>1378</v>
      </c>
      <c r="N121" s="5" t="s">
        <v>1378</v>
      </c>
      <c r="O121" s="5" t="s">
        <v>45</v>
      </c>
      <c r="P121" s="5" t="s">
        <v>45</v>
      </c>
      <c r="Q121" s="5" t="s">
        <v>1798</v>
      </c>
      <c r="R121" s="5" t="s">
        <v>1799</v>
      </c>
      <c r="S121" s="7"/>
      <c r="T121" s="5"/>
      <c r="U121" s="5"/>
      <c r="V121" s="5"/>
      <c r="W121" s="5"/>
      <c r="X121" s="5" t="s">
        <v>1800</v>
      </c>
      <c r="Y121" s="5"/>
      <c r="Z121" s="5" t="s">
        <v>1801</v>
      </c>
      <c r="AA121" s="5" t="s">
        <v>1802</v>
      </c>
      <c r="AB121" s="5" t="s">
        <v>1803</v>
      </c>
      <c r="AC121" s="5" t="s">
        <v>50</v>
      </c>
      <c r="AD121" s="5" t="s">
        <v>1804</v>
      </c>
      <c r="AE121" s="5">
        <v>7</v>
      </c>
      <c r="AF121" s="5" t="s">
        <v>1805</v>
      </c>
      <c r="AG121" s="5" t="s">
        <v>1806</v>
      </c>
      <c r="AH121" s="8" t="s">
        <v>3233</v>
      </c>
      <c r="AI121" s="5">
        <v>31735066237631</v>
      </c>
    </row>
    <row r="122" spans="1:35" ht="102" x14ac:dyDescent="0.4">
      <c r="A122" s="4">
        <v>3</v>
      </c>
      <c r="B122" s="5">
        <v>111</v>
      </c>
      <c r="C122" s="5" t="s">
        <v>1197</v>
      </c>
      <c r="D122" s="5" t="s">
        <v>1197</v>
      </c>
      <c r="E122" s="5" t="s">
        <v>1559</v>
      </c>
      <c r="F122" s="5" t="s">
        <v>1560</v>
      </c>
      <c r="G122" s="5" t="s">
        <v>1807</v>
      </c>
      <c r="H122" s="4">
        <v>1921</v>
      </c>
      <c r="I122" s="5" t="s">
        <v>1808</v>
      </c>
      <c r="J122" s="5" t="s">
        <v>41</v>
      </c>
      <c r="K122" s="5" t="s">
        <v>1809</v>
      </c>
      <c r="L122" s="5" t="s">
        <v>1810</v>
      </c>
      <c r="M122" s="5" t="s">
        <v>1378</v>
      </c>
      <c r="N122" s="5" t="s">
        <v>1811</v>
      </c>
      <c r="O122" s="5" t="s">
        <v>45</v>
      </c>
      <c r="P122" s="5" t="s">
        <v>45</v>
      </c>
      <c r="Q122" s="5" t="s">
        <v>1812</v>
      </c>
      <c r="R122" s="5" t="s">
        <v>1813</v>
      </c>
      <c r="S122" s="7"/>
      <c r="T122" s="5"/>
      <c r="U122" s="5"/>
      <c r="V122" s="5"/>
      <c r="W122" s="5"/>
      <c r="X122" s="5" t="s">
        <v>1814</v>
      </c>
      <c r="Y122" s="5"/>
      <c r="Z122" s="5" t="s">
        <v>1815</v>
      </c>
      <c r="AA122" s="5" t="s">
        <v>1816</v>
      </c>
      <c r="AB122" s="5"/>
      <c r="AC122" s="5" t="s">
        <v>50</v>
      </c>
      <c r="AD122" s="5" t="s">
        <v>1817</v>
      </c>
      <c r="AE122" s="5">
        <v>4</v>
      </c>
      <c r="AF122" s="5" t="s">
        <v>1818</v>
      </c>
      <c r="AG122" s="5" t="s">
        <v>1819</v>
      </c>
      <c r="AH122" s="8" t="s">
        <v>3233</v>
      </c>
      <c r="AI122" s="5">
        <v>31735066237615</v>
      </c>
    </row>
    <row r="123" spans="1:35" ht="102" x14ac:dyDescent="0.4">
      <c r="A123" s="4">
        <v>3</v>
      </c>
      <c r="B123" s="5">
        <v>112</v>
      </c>
      <c r="C123" s="5" t="s">
        <v>1197</v>
      </c>
      <c r="D123" s="5" t="s">
        <v>1197</v>
      </c>
      <c r="E123" s="5" t="s">
        <v>1559</v>
      </c>
      <c r="F123" s="5" t="s">
        <v>1560</v>
      </c>
      <c r="G123" s="5" t="s">
        <v>1820</v>
      </c>
      <c r="H123" s="4">
        <v>1920</v>
      </c>
      <c r="I123" s="5" t="s">
        <v>1821</v>
      </c>
      <c r="J123" s="5" t="s">
        <v>41</v>
      </c>
      <c r="K123" s="5" t="s">
        <v>1809</v>
      </c>
      <c r="L123" s="5" t="s">
        <v>1810</v>
      </c>
      <c r="M123" s="5" t="s">
        <v>1378</v>
      </c>
      <c r="N123" s="5" t="s">
        <v>1811</v>
      </c>
      <c r="O123" s="5" t="s">
        <v>45</v>
      </c>
      <c r="P123" s="5" t="s">
        <v>45</v>
      </c>
      <c r="Q123" s="5" t="s">
        <v>1822</v>
      </c>
      <c r="R123" s="5" t="s">
        <v>1823</v>
      </c>
      <c r="S123" s="7"/>
      <c r="T123" s="5"/>
      <c r="U123" s="5"/>
      <c r="V123" s="5"/>
      <c r="W123" s="5"/>
      <c r="X123" s="5" t="s">
        <v>1824</v>
      </c>
      <c r="Y123" s="5"/>
      <c r="Z123" s="5" t="s">
        <v>1825</v>
      </c>
      <c r="AA123" s="5" t="s">
        <v>1826</v>
      </c>
      <c r="AB123" s="5"/>
      <c r="AC123" s="5" t="s">
        <v>50</v>
      </c>
      <c r="AD123" s="5" t="s">
        <v>1827</v>
      </c>
      <c r="AE123" s="5">
        <v>5</v>
      </c>
      <c r="AF123" s="5" t="s">
        <v>1828</v>
      </c>
      <c r="AG123" s="5" t="s">
        <v>1819</v>
      </c>
      <c r="AH123" s="8" t="s">
        <v>3233</v>
      </c>
      <c r="AI123" s="5">
        <v>31735066237623</v>
      </c>
    </row>
    <row r="124" spans="1:35" ht="102" x14ac:dyDescent="0.4">
      <c r="A124" s="4">
        <v>3</v>
      </c>
      <c r="B124" s="5">
        <v>113</v>
      </c>
      <c r="C124" s="5" t="s">
        <v>1197</v>
      </c>
      <c r="D124" s="5" t="s">
        <v>1197</v>
      </c>
      <c r="E124" s="5" t="s">
        <v>1559</v>
      </c>
      <c r="F124" s="5" t="s">
        <v>1560</v>
      </c>
      <c r="G124" s="5" t="s">
        <v>1829</v>
      </c>
      <c r="H124" s="4">
        <v>1920</v>
      </c>
      <c r="I124" s="5" t="s">
        <v>1830</v>
      </c>
      <c r="J124" s="5" t="s">
        <v>41</v>
      </c>
      <c r="K124" s="5" t="s">
        <v>1831</v>
      </c>
      <c r="L124" s="5" t="s">
        <v>1832</v>
      </c>
      <c r="M124" s="5" t="s">
        <v>735</v>
      </c>
      <c r="N124" s="5" t="s">
        <v>1833</v>
      </c>
      <c r="O124" s="5" t="s">
        <v>45</v>
      </c>
      <c r="P124" s="5" t="s">
        <v>45</v>
      </c>
      <c r="Q124" s="5" t="s">
        <v>1834</v>
      </c>
      <c r="R124" s="5" t="s">
        <v>1835</v>
      </c>
      <c r="S124" s="7"/>
      <c r="T124" s="5"/>
      <c r="U124" s="5"/>
      <c r="V124" s="5"/>
      <c r="W124" s="5"/>
      <c r="X124" s="5" t="s">
        <v>1836</v>
      </c>
      <c r="Y124" s="5"/>
      <c r="Z124" s="5" t="s">
        <v>1837</v>
      </c>
      <c r="AA124" s="5" t="s">
        <v>1838</v>
      </c>
      <c r="AB124" s="5" t="s">
        <v>1839</v>
      </c>
      <c r="AC124" s="5" t="s">
        <v>50</v>
      </c>
      <c r="AD124" s="5" t="s">
        <v>1840</v>
      </c>
      <c r="AE124" s="5">
        <v>4</v>
      </c>
      <c r="AF124" s="5" t="s">
        <v>1841</v>
      </c>
      <c r="AG124" s="5" t="s">
        <v>1842</v>
      </c>
      <c r="AH124" s="8" t="s">
        <v>3233</v>
      </c>
      <c r="AI124" s="5">
        <v>31735066237649</v>
      </c>
    </row>
    <row r="125" spans="1:35" ht="76.5" x14ac:dyDescent="0.4">
      <c r="A125" s="4">
        <v>3</v>
      </c>
      <c r="B125" s="5">
        <v>114</v>
      </c>
      <c r="C125" s="5" t="s">
        <v>53</v>
      </c>
      <c r="D125" s="5" t="s">
        <v>541</v>
      </c>
      <c r="E125" s="5" t="s">
        <v>1559</v>
      </c>
      <c r="F125" s="5" t="s">
        <v>1560</v>
      </c>
      <c r="G125" s="5" t="s">
        <v>1843</v>
      </c>
      <c r="H125" s="4">
        <v>1916</v>
      </c>
      <c r="I125" s="5" t="s">
        <v>1844</v>
      </c>
      <c r="J125" s="5" t="s">
        <v>41</v>
      </c>
      <c r="K125" s="5" t="s">
        <v>1845</v>
      </c>
      <c r="L125" s="5" t="s">
        <v>1846</v>
      </c>
      <c r="M125" s="5" t="s">
        <v>735</v>
      </c>
      <c r="N125" s="5" t="s">
        <v>1847</v>
      </c>
      <c r="O125" s="5" t="s">
        <v>45</v>
      </c>
      <c r="P125" s="5" t="s">
        <v>45</v>
      </c>
      <c r="Q125" s="5" t="s">
        <v>1848</v>
      </c>
      <c r="R125" s="5" t="s">
        <v>1849</v>
      </c>
      <c r="S125" s="7">
        <v>40</v>
      </c>
      <c r="T125" s="5" t="s">
        <v>634</v>
      </c>
      <c r="U125" s="5" t="s">
        <v>1850</v>
      </c>
      <c r="V125" s="5" t="s">
        <v>1851</v>
      </c>
      <c r="W125" s="5" t="s">
        <v>1852</v>
      </c>
      <c r="X125" s="5" t="s">
        <v>1853</v>
      </c>
      <c r="Y125" s="5" t="s">
        <v>1854</v>
      </c>
      <c r="Z125" s="5" t="s">
        <v>1855</v>
      </c>
      <c r="AA125" s="5" t="s">
        <v>1856</v>
      </c>
      <c r="AB125" s="5" t="s">
        <v>1857</v>
      </c>
      <c r="AC125" s="5" t="s">
        <v>164</v>
      </c>
      <c r="AD125" s="5" t="s">
        <v>1858</v>
      </c>
      <c r="AE125" s="5">
        <v>2</v>
      </c>
      <c r="AF125" s="5" t="s">
        <v>1859</v>
      </c>
      <c r="AG125" s="5">
        <v>1921</v>
      </c>
      <c r="AH125" s="8" t="s">
        <v>3233</v>
      </c>
      <c r="AI125" s="5">
        <v>31735066267703</v>
      </c>
    </row>
    <row r="126" spans="1:35" ht="38.25" x14ac:dyDescent="0.4">
      <c r="A126" s="4">
        <v>3</v>
      </c>
      <c r="B126" s="5">
        <v>115</v>
      </c>
      <c r="C126" s="5" t="s">
        <v>1197</v>
      </c>
      <c r="D126" s="5" t="s">
        <v>1197</v>
      </c>
      <c r="E126" s="5" t="s">
        <v>1559</v>
      </c>
      <c r="F126" s="5" t="s">
        <v>1560</v>
      </c>
      <c r="G126" s="5" t="s">
        <v>1860</v>
      </c>
      <c r="H126" s="4">
        <v>1921</v>
      </c>
      <c r="I126" s="5" t="s">
        <v>1861</v>
      </c>
      <c r="J126" s="5" t="s">
        <v>41</v>
      </c>
      <c r="K126" s="5" t="s">
        <v>1862</v>
      </c>
      <c r="L126" s="5" t="s">
        <v>1863</v>
      </c>
      <c r="M126" s="5" t="s">
        <v>171</v>
      </c>
      <c r="N126" s="5" t="s">
        <v>1864</v>
      </c>
      <c r="O126" s="5" t="s">
        <v>45</v>
      </c>
      <c r="P126" s="5" t="s">
        <v>45</v>
      </c>
      <c r="Q126" s="5" t="s">
        <v>1865</v>
      </c>
      <c r="R126" s="5" t="s">
        <v>1866</v>
      </c>
      <c r="S126" s="7"/>
      <c r="T126" s="5"/>
      <c r="U126" s="5"/>
      <c r="V126" s="5"/>
      <c r="W126" s="5"/>
      <c r="X126" s="5" t="s">
        <v>1867</v>
      </c>
      <c r="Y126" s="5"/>
      <c r="Z126" s="5"/>
      <c r="AA126" s="5" t="s">
        <v>1868</v>
      </c>
      <c r="AB126" s="5"/>
      <c r="AC126" s="5" t="s">
        <v>50</v>
      </c>
      <c r="AD126" s="5" t="s">
        <v>1869</v>
      </c>
      <c r="AE126" s="5">
        <v>1</v>
      </c>
      <c r="AF126" s="5" t="s">
        <v>1870</v>
      </c>
      <c r="AG126" s="5">
        <v>1921</v>
      </c>
      <c r="AH126" s="8" t="s">
        <v>3233</v>
      </c>
      <c r="AI126" s="5">
        <v>31735066237508</v>
      </c>
    </row>
    <row r="127" spans="1:35" ht="51" x14ac:dyDescent="0.4">
      <c r="A127" s="4">
        <v>3</v>
      </c>
      <c r="B127" s="5">
        <v>116</v>
      </c>
      <c r="C127" s="5" t="s">
        <v>53</v>
      </c>
      <c r="D127" s="5" t="s">
        <v>1871</v>
      </c>
      <c r="E127" s="5" t="s">
        <v>1559</v>
      </c>
      <c r="F127" s="5" t="s">
        <v>1560</v>
      </c>
      <c r="G127" s="5" t="s">
        <v>1872</v>
      </c>
      <c r="H127" s="4">
        <v>1921</v>
      </c>
      <c r="I127" s="5" t="s">
        <v>1873</v>
      </c>
      <c r="J127" s="5" t="s">
        <v>41</v>
      </c>
      <c r="K127" s="5" t="s">
        <v>1874</v>
      </c>
      <c r="L127" s="5" t="s">
        <v>1875</v>
      </c>
      <c r="M127" s="5" t="s">
        <v>1876</v>
      </c>
      <c r="N127" s="5" t="s">
        <v>1877</v>
      </c>
      <c r="O127" s="5" t="s">
        <v>83</v>
      </c>
      <c r="P127" s="5" t="s">
        <v>1634</v>
      </c>
      <c r="Q127" s="5" t="s">
        <v>1878</v>
      </c>
      <c r="R127" s="5" t="s">
        <v>1879</v>
      </c>
      <c r="S127" s="7">
        <v>60</v>
      </c>
      <c r="T127" s="5" t="s">
        <v>634</v>
      </c>
      <c r="U127" s="5" t="s">
        <v>1880</v>
      </c>
      <c r="V127" s="5" t="s">
        <v>1881</v>
      </c>
      <c r="W127" s="5" t="s">
        <v>1882</v>
      </c>
      <c r="X127" s="5" t="s">
        <v>71</v>
      </c>
      <c r="Y127" s="5" t="s">
        <v>1883</v>
      </c>
      <c r="Z127" s="5"/>
      <c r="AA127" s="5" t="s">
        <v>1884</v>
      </c>
      <c r="AB127" s="5" t="s">
        <v>1885</v>
      </c>
      <c r="AC127" s="5" t="s">
        <v>164</v>
      </c>
      <c r="AD127" s="5" t="s">
        <v>1886</v>
      </c>
      <c r="AE127" s="5">
        <v>1</v>
      </c>
      <c r="AF127" s="5" t="s">
        <v>1887</v>
      </c>
      <c r="AG127" s="5">
        <v>1921</v>
      </c>
      <c r="AH127" s="8" t="s">
        <v>3233</v>
      </c>
      <c r="AI127" s="5">
        <v>31735066267513</v>
      </c>
    </row>
    <row r="128" spans="1:35" ht="38.25" x14ac:dyDescent="0.4">
      <c r="A128" s="4">
        <v>3</v>
      </c>
      <c r="B128" s="5">
        <v>117</v>
      </c>
      <c r="C128" s="5" t="s">
        <v>1197</v>
      </c>
      <c r="D128" s="5" t="s">
        <v>1197</v>
      </c>
      <c r="E128" s="5" t="s">
        <v>1559</v>
      </c>
      <c r="F128" s="5" t="s">
        <v>1560</v>
      </c>
      <c r="G128" s="5" t="s">
        <v>1888</v>
      </c>
      <c r="H128" s="4">
        <v>1922</v>
      </c>
      <c r="I128" s="5" t="s">
        <v>1889</v>
      </c>
      <c r="J128" s="5" t="s">
        <v>41</v>
      </c>
      <c r="K128" s="5" t="s">
        <v>1890</v>
      </c>
      <c r="L128" s="5" t="s">
        <v>1891</v>
      </c>
      <c r="M128" s="5" t="s">
        <v>1378</v>
      </c>
      <c r="N128" s="5" t="s">
        <v>1811</v>
      </c>
      <c r="O128" s="5" t="s">
        <v>45</v>
      </c>
      <c r="P128" s="5" t="s">
        <v>45</v>
      </c>
      <c r="Q128" s="5" t="s">
        <v>1892</v>
      </c>
      <c r="R128" s="5" t="s">
        <v>1893</v>
      </c>
      <c r="S128" s="7"/>
      <c r="T128" s="5"/>
      <c r="U128" s="5"/>
      <c r="V128" s="5"/>
      <c r="W128" s="5"/>
      <c r="X128" s="5" t="s">
        <v>1894</v>
      </c>
      <c r="Y128" s="5"/>
      <c r="Z128" s="5"/>
      <c r="AA128" s="5" t="s">
        <v>1895</v>
      </c>
      <c r="AB128" s="5" t="s">
        <v>1896</v>
      </c>
      <c r="AC128" s="5" t="s">
        <v>50</v>
      </c>
      <c r="AD128" s="5" t="s">
        <v>1897</v>
      </c>
      <c r="AE128" s="5">
        <v>1</v>
      </c>
      <c r="AF128" s="5" t="s">
        <v>1898</v>
      </c>
      <c r="AG128" s="5">
        <v>1922</v>
      </c>
      <c r="AH128" s="8" t="s">
        <v>3233</v>
      </c>
      <c r="AI128" s="5">
        <v>31735066237680</v>
      </c>
    </row>
    <row r="129" spans="1:35" ht="127.5" x14ac:dyDescent="0.4">
      <c r="A129" s="4">
        <v>3</v>
      </c>
      <c r="B129" s="5">
        <v>118</v>
      </c>
      <c r="C129" s="5" t="s">
        <v>1197</v>
      </c>
      <c r="D129" s="5" t="s">
        <v>1899</v>
      </c>
      <c r="E129" s="5" t="s">
        <v>1900</v>
      </c>
      <c r="F129" s="5" t="s">
        <v>1560</v>
      </c>
      <c r="G129" s="5" t="s">
        <v>1901</v>
      </c>
      <c r="H129" s="4">
        <v>1928</v>
      </c>
      <c r="I129" s="5"/>
      <c r="J129" s="5" t="s">
        <v>429</v>
      </c>
      <c r="K129" s="5" t="s">
        <v>1902</v>
      </c>
      <c r="L129" s="5" t="s">
        <v>1903</v>
      </c>
      <c r="M129" s="5" t="s">
        <v>1378</v>
      </c>
      <c r="N129" s="5" t="s">
        <v>1904</v>
      </c>
      <c r="O129" s="5" t="s">
        <v>45</v>
      </c>
      <c r="P129" s="5" t="s">
        <v>1905</v>
      </c>
      <c r="Q129" s="5" t="s">
        <v>1906</v>
      </c>
      <c r="R129" s="5" t="s">
        <v>1907</v>
      </c>
      <c r="S129" s="7"/>
      <c r="T129" s="5"/>
      <c r="U129" s="5"/>
      <c r="V129" s="5"/>
      <c r="W129" s="5"/>
      <c r="X129" s="5" t="s">
        <v>1908</v>
      </c>
      <c r="Y129" s="5"/>
      <c r="Z129" s="5" t="s">
        <v>1909</v>
      </c>
      <c r="AA129" s="5" t="s">
        <v>1910</v>
      </c>
      <c r="AB129" s="5" t="s">
        <v>1911</v>
      </c>
      <c r="AC129" s="5" t="s">
        <v>50</v>
      </c>
      <c r="AD129" s="5" t="s">
        <v>1912</v>
      </c>
      <c r="AE129" s="5">
        <v>8</v>
      </c>
      <c r="AF129" s="5" t="s">
        <v>1913</v>
      </c>
      <c r="AG129" s="5" t="s">
        <v>1914</v>
      </c>
      <c r="AH129" s="8" t="s">
        <v>3233</v>
      </c>
      <c r="AI129" s="5">
        <v>31735066237599</v>
      </c>
    </row>
    <row r="130" spans="1:35" ht="63.75" x14ac:dyDescent="0.4">
      <c r="A130" s="4">
        <v>3</v>
      </c>
      <c r="B130" s="5" t="s">
        <v>1915</v>
      </c>
      <c r="C130" s="5" t="s">
        <v>95</v>
      </c>
      <c r="D130" s="5" t="s">
        <v>1916</v>
      </c>
      <c r="E130" s="5" t="s">
        <v>1559</v>
      </c>
      <c r="F130" s="5" t="s">
        <v>1560</v>
      </c>
      <c r="G130" s="5" t="s">
        <v>1917</v>
      </c>
      <c r="H130" s="4">
        <v>1923</v>
      </c>
      <c r="I130" s="5" t="s">
        <v>1918</v>
      </c>
      <c r="J130" s="5" t="s">
        <v>41</v>
      </c>
      <c r="K130" s="5" t="s">
        <v>1919</v>
      </c>
      <c r="L130" s="5" t="s">
        <v>1920</v>
      </c>
      <c r="M130" s="5" t="s">
        <v>1378</v>
      </c>
      <c r="N130" s="5" t="s">
        <v>1921</v>
      </c>
      <c r="O130" s="5" t="s">
        <v>261</v>
      </c>
      <c r="P130" s="5" t="s">
        <v>261</v>
      </c>
      <c r="Q130" s="5" t="s">
        <v>1922</v>
      </c>
      <c r="R130" s="5" t="s">
        <v>1923</v>
      </c>
      <c r="S130" s="7">
        <v>64500</v>
      </c>
      <c r="T130" s="5" t="s">
        <v>449</v>
      </c>
      <c r="U130" s="5" t="s">
        <v>1924</v>
      </c>
      <c r="V130" s="5" t="s">
        <v>1925</v>
      </c>
      <c r="W130" s="5" t="s">
        <v>1924</v>
      </c>
      <c r="X130" s="5" t="s">
        <v>1926</v>
      </c>
      <c r="Y130" s="5" t="s">
        <v>1927</v>
      </c>
      <c r="Z130" s="5" t="s">
        <v>1928</v>
      </c>
      <c r="AA130" s="5" t="s">
        <v>1929</v>
      </c>
      <c r="AB130" s="5" t="s">
        <v>1930</v>
      </c>
      <c r="AC130" s="5" t="s">
        <v>164</v>
      </c>
      <c r="AD130" s="5" t="s">
        <v>1931</v>
      </c>
      <c r="AE130" s="5">
        <v>2</v>
      </c>
      <c r="AF130" s="5" t="s">
        <v>1932</v>
      </c>
      <c r="AG130" s="5" t="s">
        <v>1914</v>
      </c>
      <c r="AH130" s="8" t="s">
        <v>3233</v>
      </c>
      <c r="AI130" s="5">
        <v>31735068223381</v>
      </c>
    </row>
    <row r="131" spans="1:35" ht="76.5" x14ac:dyDescent="0.4">
      <c r="A131" s="4">
        <v>3</v>
      </c>
      <c r="B131" s="5">
        <v>119</v>
      </c>
      <c r="C131" s="5" t="s">
        <v>95</v>
      </c>
      <c r="D131" s="5" t="s">
        <v>96</v>
      </c>
      <c r="E131" s="5" t="s">
        <v>1559</v>
      </c>
      <c r="F131" s="5" t="s">
        <v>1560</v>
      </c>
      <c r="G131" s="5" t="s">
        <v>1933</v>
      </c>
      <c r="H131" s="4">
        <v>1924</v>
      </c>
      <c r="I131" s="5" t="s">
        <v>1934</v>
      </c>
      <c r="J131" s="5" t="s">
        <v>414</v>
      </c>
      <c r="K131" s="5" t="s">
        <v>1935</v>
      </c>
      <c r="L131" s="5" t="s">
        <v>1936</v>
      </c>
      <c r="M131" s="5" t="s">
        <v>735</v>
      </c>
      <c r="N131" s="5" t="s">
        <v>1937</v>
      </c>
      <c r="O131" s="5" t="s">
        <v>83</v>
      </c>
      <c r="P131" s="5" t="s">
        <v>83</v>
      </c>
      <c r="Q131" s="5" t="s">
        <v>1938</v>
      </c>
      <c r="R131" s="5" t="s">
        <v>1939</v>
      </c>
      <c r="S131" s="7">
        <v>135</v>
      </c>
      <c r="T131" s="5" t="s">
        <v>634</v>
      </c>
      <c r="U131" s="5" t="s">
        <v>1940</v>
      </c>
      <c r="V131" s="5" t="s">
        <v>1941</v>
      </c>
      <c r="W131" s="5"/>
      <c r="X131" s="5" t="s">
        <v>1942</v>
      </c>
      <c r="Y131" s="5" t="s">
        <v>1943</v>
      </c>
      <c r="Z131" s="5" t="s">
        <v>1944</v>
      </c>
      <c r="AA131" s="5" t="s">
        <v>1945</v>
      </c>
      <c r="AB131" s="5" t="s">
        <v>1946</v>
      </c>
      <c r="AC131" s="5" t="s">
        <v>50</v>
      </c>
      <c r="AD131" s="5" t="s">
        <v>1947</v>
      </c>
      <c r="AE131" s="5">
        <v>2</v>
      </c>
      <c r="AF131" s="5" t="s">
        <v>1948</v>
      </c>
      <c r="AG131" s="5">
        <v>1924</v>
      </c>
      <c r="AH131" s="8" t="s">
        <v>3233</v>
      </c>
      <c r="AI131" s="5">
        <v>31735064607512</v>
      </c>
    </row>
    <row r="132" spans="1:35" ht="114.75" x14ac:dyDescent="0.4">
      <c r="A132" s="4">
        <v>3</v>
      </c>
      <c r="B132" s="5" t="s">
        <v>1949</v>
      </c>
      <c r="C132" s="5" t="s">
        <v>243</v>
      </c>
      <c r="D132" s="5" t="s">
        <v>1558</v>
      </c>
      <c r="E132" s="5" t="s">
        <v>1559</v>
      </c>
      <c r="F132" s="5" t="s">
        <v>1560</v>
      </c>
      <c r="G132" s="5" t="s">
        <v>1950</v>
      </c>
      <c r="H132" s="4">
        <v>1924</v>
      </c>
      <c r="I132" s="5" t="s">
        <v>1951</v>
      </c>
      <c r="J132" s="5" t="s">
        <v>414</v>
      </c>
      <c r="K132" s="5" t="s">
        <v>1753</v>
      </c>
      <c r="L132" s="5" t="s">
        <v>1952</v>
      </c>
      <c r="M132" s="5" t="s">
        <v>735</v>
      </c>
      <c r="N132" s="5" t="s">
        <v>1953</v>
      </c>
      <c r="O132" s="5" t="s">
        <v>83</v>
      </c>
      <c r="P132" s="5" t="s">
        <v>83</v>
      </c>
      <c r="Q132" s="5" t="s">
        <v>1954</v>
      </c>
      <c r="R132" s="5" t="s">
        <v>1955</v>
      </c>
      <c r="S132" s="7">
        <v>125</v>
      </c>
      <c r="T132" s="5" t="s">
        <v>634</v>
      </c>
      <c r="U132" s="5" t="s">
        <v>1940</v>
      </c>
      <c r="V132" s="5"/>
      <c r="W132" s="5"/>
      <c r="X132" s="5" t="s">
        <v>1956</v>
      </c>
      <c r="Y132" s="5"/>
      <c r="Z132" s="5" t="s">
        <v>1957</v>
      </c>
      <c r="AA132" s="5" t="s">
        <v>1958</v>
      </c>
      <c r="AB132" s="5" t="s">
        <v>1959</v>
      </c>
      <c r="AC132" s="5" t="s">
        <v>164</v>
      </c>
      <c r="AD132" s="5" t="s">
        <v>1960</v>
      </c>
      <c r="AE132" s="5">
        <v>2</v>
      </c>
      <c r="AF132" s="5" t="s">
        <v>1961</v>
      </c>
      <c r="AG132" s="5" t="s">
        <v>1962</v>
      </c>
      <c r="AH132" s="8" t="s">
        <v>3233</v>
      </c>
      <c r="AI132" s="5">
        <v>31735068223399</v>
      </c>
    </row>
    <row r="133" spans="1:35" ht="127.5" x14ac:dyDescent="0.4">
      <c r="A133" s="4">
        <v>3</v>
      </c>
      <c r="B133" s="5">
        <v>120</v>
      </c>
      <c r="C133" s="5" t="s">
        <v>477</v>
      </c>
      <c r="D133" s="5" t="s">
        <v>1963</v>
      </c>
      <c r="E133" s="5" t="s">
        <v>1559</v>
      </c>
      <c r="F133" s="5" t="s">
        <v>1560</v>
      </c>
      <c r="G133" s="5" t="s">
        <v>1964</v>
      </c>
      <c r="H133" s="4">
        <v>1924</v>
      </c>
      <c r="I133" s="5" t="s">
        <v>1965</v>
      </c>
      <c r="J133" s="5" t="s">
        <v>1966</v>
      </c>
      <c r="K133" s="5" t="s">
        <v>1967</v>
      </c>
      <c r="L133" s="5"/>
      <c r="M133" s="5" t="s">
        <v>61</v>
      </c>
      <c r="N133" s="5"/>
      <c r="O133" s="5" t="s">
        <v>35</v>
      </c>
      <c r="P133" s="5" t="s">
        <v>1968</v>
      </c>
      <c r="Q133" s="5" t="s">
        <v>1969</v>
      </c>
      <c r="R133" s="5" t="s">
        <v>1970</v>
      </c>
      <c r="S133" s="7"/>
      <c r="T133" s="5" t="s">
        <v>634</v>
      </c>
      <c r="U133" s="5"/>
      <c r="V133" s="5" t="s">
        <v>1971</v>
      </c>
      <c r="W133" s="5" t="s">
        <v>1972</v>
      </c>
      <c r="X133" s="5" t="s">
        <v>71</v>
      </c>
      <c r="Y133" s="5"/>
      <c r="Z133" s="5"/>
      <c r="AA133" s="5" t="s">
        <v>1973</v>
      </c>
      <c r="AB133" s="5" t="s">
        <v>1974</v>
      </c>
      <c r="AC133" s="5" t="s">
        <v>50</v>
      </c>
      <c r="AD133" s="5" t="s">
        <v>1975</v>
      </c>
      <c r="AE133" s="5">
        <v>1</v>
      </c>
      <c r="AF133" s="5" t="s">
        <v>1976</v>
      </c>
      <c r="AG133" s="5">
        <v>1924</v>
      </c>
      <c r="AH133" s="8" t="s">
        <v>3233</v>
      </c>
      <c r="AI133" s="5">
        <v>31735064607777</v>
      </c>
    </row>
    <row r="134" spans="1:35" ht="63.75" x14ac:dyDescent="0.4">
      <c r="A134" s="4">
        <v>3</v>
      </c>
      <c r="B134" s="5">
        <v>121</v>
      </c>
      <c r="C134" s="5" t="s">
        <v>53</v>
      </c>
      <c r="D134" s="5" t="s">
        <v>1977</v>
      </c>
      <c r="E134" s="5" t="s">
        <v>1559</v>
      </c>
      <c r="F134" s="5" t="s">
        <v>1560</v>
      </c>
      <c r="G134" s="5" t="s">
        <v>1978</v>
      </c>
      <c r="H134" s="4">
        <v>1924</v>
      </c>
      <c r="I134" s="5" t="s">
        <v>1979</v>
      </c>
      <c r="J134" s="5" t="s">
        <v>41</v>
      </c>
      <c r="K134" s="5" t="s">
        <v>1980</v>
      </c>
      <c r="L134" s="5" t="s">
        <v>1981</v>
      </c>
      <c r="M134" s="5" t="s">
        <v>171</v>
      </c>
      <c r="N134" s="5" t="s">
        <v>1982</v>
      </c>
      <c r="O134" s="5" t="s">
        <v>45</v>
      </c>
      <c r="P134" s="5" t="s">
        <v>45</v>
      </c>
      <c r="Q134" s="5" t="s">
        <v>1983</v>
      </c>
      <c r="R134" s="5" t="s">
        <v>1984</v>
      </c>
      <c r="S134" s="7">
        <v>24</v>
      </c>
      <c r="T134" s="5" t="s">
        <v>67</v>
      </c>
      <c r="U134" s="5" t="s">
        <v>1985</v>
      </c>
      <c r="V134" s="5"/>
      <c r="W134" s="5"/>
      <c r="X134" s="5" t="s">
        <v>1986</v>
      </c>
      <c r="Y134" s="5"/>
      <c r="Z134" s="5" t="s">
        <v>1987</v>
      </c>
      <c r="AA134" s="5" t="s">
        <v>1988</v>
      </c>
      <c r="AB134" s="5"/>
      <c r="AC134" s="5" t="s">
        <v>50</v>
      </c>
      <c r="AD134" s="5" t="s">
        <v>1989</v>
      </c>
      <c r="AE134" s="5">
        <v>1</v>
      </c>
      <c r="AF134" s="5" t="s">
        <v>1990</v>
      </c>
      <c r="AG134" s="5">
        <v>1924</v>
      </c>
      <c r="AH134" s="8" t="s">
        <v>3233</v>
      </c>
      <c r="AI134" s="5">
        <v>31735066267943</v>
      </c>
    </row>
    <row r="135" spans="1:35" ht="63.75" x14ac:dyDescent="0.4">
      <c r="A135" s="4">
        <v>3</v>
      </c>
      <c r="B135" s="5">
        <v>122</v>
      </c>
      <c r="C135" s="5" t="s">
        <v>1197</v>
      </c>
      <c r="D135" s="5" t="s">
        <v>1991</v>
      </c>
      <c r="E135" s="5" t="s">
        <v>1559</v>
      </c>
      <c r="F135" s="5" t="s">
        <v>1560</v>
      </c>
      <c r="G135" s="5" t="s">
        <v>1992</v>
      </c>
      <c r="H135" s="4">
        <v>1924</v>
      </c>
      <c r="I135" s="5"/>
      <c r="J135" s="5" t="s">
        <v>429</v>
      </c>
      <c r="K135" s="5" t="s">
        <v>1993</v>
      </c>
      <c r="L135" s="5" t="s">
        <v>1994</v>
      </c>
      <c r="M135" s="5" t="s">
        <v>1378</v>
      </c>
      <c r="N135" s="5" t="s">
        <v>1742</v>
      </c>
      <c r="O135" s="5" t="s">
        <v>45</v>
      </c>
      <c r="P135" s="5" t="s">
        <v>1995</v>
      </c>
      <c r="Q135" s="5" t="s">
        <v>1996</v>
      </c>
      <c r="R135" s="5" t="s">
        <v>1997</v>
      </c>
      <c r="S135" s="7"/>
      <c r="T135" s="5"/>
      <c r="U135" s="5"/>
      <c r="V135" s="5"/>
      <c r="W135" s="5"/>
      <c r="X135" s="5" t="s">
        <v>1998</v>
      </c>
      <c r="Y135" s="5"/>
      <c r="Z135" s="5" t="s">
        <v>1999</v>
      </c>
      <c r="AA135" s="5" t="s">
        <v>2000</v>
      </c>
      <c r="AB135" s="5"/>
      <c r="AC135" s="5" t="s">
        <v>50</v>
      </c>
      <c r="AD135" s="5" t="s">
        <v>2001</v>
      </c>
      <c r="AE135" s="5">
        <v>2</v>
      </c>
      <c r="AF135" s="5" t="s">
        <v>2002</v>
      </c>
      <c r="AG135" s="5" t="s">
        <v>2003</v>
      </c>
      <c r="AH135" s="8" t="s">
        <v>3233</v>
      </c>
      <c r="AI135" s="5">
        <v>31735066237664</v>
      </c>
    </row>
    <row r="136" spans="1:35" ht="89.25" x14ac:dyDescent="0.4">
      <c r="A136" s="4">
        <v>3</v>
      </c>
      <c r="B136" s="5">
        <v>123</v>
      </c>
      <c r="C136" s="5" t="s">
        <v>53</v>
      </c>
      <c r="D136" s="5" t="s">
        <v>541</v>
      </c>
      <c r="E136" s="5" t="s">
        <v>1559</v>
      </c>
      <c r="F136" s="5" t="s">
        <v>1560</v>
      </c>
      <c r="G136" s="5" t="s">
        <v>2004</v>
      </c>
      <c r="H136" s="4">
        <v>1925</v>
      </c>
      <c r="I136" s="5" t="s">
        <v>1151</v>
      </c>
      <c r="J136" s="5" t="s">
        <v>41</v>
      </c>
      <c r="K136" s="5" t="s">
        <v>2005</v>
      </c>
      <c r="L136" s="5" t="s">
        <v>2006</v>
      </c>
      <c r="M136" s="5" t="s">
        <v>292</v>
      </c>
      <c r="N136" s="5" t="s">
        <v>1326</v>
      </c>
      <c r="O136" s="5" t="s">
        <v>83</v>
      </c>
      <c r="P136" s="5" t="s">
        <v>83</v>
      </c>
      <c r="Q136" s="5" t="s">
        <v>2007</v>
      </c>
      <c r="R136" s="5" t="s">
        <v>2008</v>
      </c>
      <c r="S136" s="7">
        <v>40</v>
      </c>
      <c r="T136" s="5" t="s">
        <v>67</v>
      </c>
      <c r="U136" s="5"/>
      <c r="V136" s="5"/>
      <c r="W136" s="5"/>
      <c r="X136" s="5" t="s">
        <v>2009</v>
      </c>
      <c r="Y136" s="5" t="s">
        <v>2010</v>
      </c>
      <c r="Z136" s="5" t="s">
        <v>2011</v>
      </c>
      <c r="AA136" s="5" t="s">
        <v>2012</v>
      </c>
      <c r="AB136" s="5" t="s">
        <v>2013</v>
      </c>
      <c r="AC136" s="5" t="s">
        <v>50</v>
      </c>
      <c r="AD136" s="5" t="s">
        <v>2014</v>
      </c>
      <c r="AE136" s="5">
        <v>2</v>
      </c>
      <c r="AF136" s="5" t="s">
        <v>2015</v>
      </c>
      <c r="AG136" s="5">
        <v>1925</v>
      </c>
      <c r="AH136" s="8" t="s">
        <v>3233</v>
      </c>
      <c r="AI136" s="5">
        <v>31735064607611</v>
      </c>
    </row>
    <row r="137" spans="1:35" ht="51" x14ac:dyDescent="0.4">
      <c r="A137" s="4">
        <v>3</v>
      </c>
      <c r="B137" s="5">
        <v>124</v>
      </c>
      <c r="C137" s="5" t="s">
        <v>53</v>
      </c>
      <c r="D137" s="5" t="s">
        <v>1977</v>
      </c>
      <c r="E137" s="5" t="s">
        <v>1559</v>
      </c>
      <c r="F137" s="5" t="s">
        <v>1560</v>
      </c>
      <c r="G137" s="5" t="s">
        <v>2016</v>
      </c>
      <c r="H137" s="4">
        <v>1925</v>
      </c>
      <c r="I137" s="5" t="s">
        <v>2017</v>
      </c>
      <c r="J137" s="5" t="s">
        <v>41</v>
      </c>
      <c r="K137" s="5" t="s">
        <v>1980</v>
      </c>
      <c r="L137" s="5" t="s">
        <v>2018</v>
      </c>
      <c r="M137" s="5" t="s">
        <v>171</v>
      </c>
      <c r="N137" s="5" t="s">
        <v>2019</v>
      </c>
      <c r="O137" s="5" t="s">
        <v>45</v>
      </c>
      <c r="P137" s="5" t="s">
        <v>45</v>
      </c>
      <c r="Q137" s="5" t="s">
        <v>2020</v>
      </c>
      <c r="R137" s="5" t="s">
        <v>2021</v>
      </c>
      <c r="S137" s="7">
        <v>50</v>
      </c>
      <c r="T137" s="5" t="s">
        <v>634</v>
      </c>
      <c r="U137" s="5" t="s">
        <v>2022</v>
      </c>
      <c r="V137" s="5"/>
      <c r="W137" s="5"/>
      <c r="X137" s="5" t="s">
        <v>2023</v>
      </c>
      <c r="Y137" s="5"/>
      <c r="Z137" s="5" t="s">
        <v>2024</v>
      </c>
      <c r="AA137" s="5" t="s">
        <v>2025</v>
      </c>
      <c r="AB137" s="5" t="s">
        <v>2026</v>
      </c>
      <c r="AC137" s="5" t="s">
        <v>164</v>
      </c>
      <c r="AD137" s="5" t="s">
        <v>2027</v>
      </c>
      <c r="AE137" s="5">
        <v>1</v>
      </c>
      <c r="AF137" s="5" t="s">
        <v>2028</v>
      </c>
      <c r="AG137" s="5">
        <v>1925</v>
      </c>
      <c r="AH137" s="8" t="s">
        <v>3233</v>
      </c>
      <c r="AI137" s="5">
        <v>31735066237474</v>
      </c>
    </row>
    <row r="138" spans="1:35" ht="140.25" x14ac:dyDescent="0.4">
      <c r="A138" s="4">
        <v>3</v>
      </c>
      <c r="B138" s="5">
        <v>125</v>
      </c>
      <c r="C138" s="5" t="s">
        <v>53</v>
      </c>
      <c r="D138" s="5" t="s">
        <v>541</v>
      </c>
      <c r="E138" s="5" t="s">
        <v>1900</v>
      </c>
      <c r="F138" s="5" t="s">
        <v>1560</v>
      </c>
      <c r="G138" s="5" t="s">
        <v>2029</v>
      </c>
      <c r="H138" s="4">
        <v>1929</v>
      </c>
      <c r="I138" s="5" t="s">
        <v>2030</v>
      </c>
      <c r="J138" s="5" t="s">
        <v>41</v>
      </c>
      <c r="K138" s="5" t="s">
        <v>2031</v>
      </c>
      <c r="L138" s="5" t="s">
        <v>2032</v>
      </c>
      <c r="M138" s="5" t="s">
        <v>1378</v>
      </c>
      <c r="N138" s="5" t="s">
        <v>2033</v>
      </c>
      <c r="O138" s="5" t="s">
        <v>45</v>
      </c>
      <c r="P138" s="5" t="s">
        <v>45</v>
      </c>
      <c r="Q138" s="5" t="s">
        <v>2034</v>
      </c>
      <c r="R138" s="5" t="s">
        <v>2035</v>
      </c>
      <c r="S138" s="7">
        <v>150</v>
      </c>
      <c r="T138" s="5" t="s">
        <v>67</v>
      </c>
      <c r="U138" s="5" t="s">
        <v>2036</v>
      </c>
      <c r="V138" s="5" t="s">
        <v>2037</v>
      </c>
      <c r="W138" s="5" t="s">
        <v>2038</v>
      </c>
      <c r="X138" s="5" t="s">
        <v>2039</v>
      </c>
      <c r="Y138" s="5" t="s">
        <v>2040</v>
      </c>
      <c r="Z138" s="5" t="s">
        <v>2041</v>
      </c>
      <c r="AA138" s="5" t="s">
        <v>2042</v>
      </c>
      <c r="AB138" s="5"/>
      <c r="AC138" s="5" t="s">
        <v>164</v>
      </c>
      <c r="AD138" s="6" t="s">
        <v>2043</v>
      </c>
      <c r="AE138" s="5">
        <v>3</v>
      </c>
      <c r="AF138" s="5" t="s">
        <v>2044</v>
      </c>
      <c r="AG138" s="5" t="s">
        <v>2045</v>
      </c>
      <c r="AH138" s="8" t="s">
        <v>3233</v>
      </c>
      <c r="AI138" s="5">
        <v>31735066267596</v>
      </c>
    </row>
    <row r="139" spans="1:35" ht="38.25" x14ac:dyDescent="0.4">
      <c r="A139" s="4">
        <v>3</v>
      </c>
      <c r="B139" s="5">
        <v>126</v>
      </c>
      <c r="C139" s="5" t="s">
        <v>95</v>
      </c>
      <c r="D139" s="5" t="s">
        <v>2046</v>
      </c>
      <c r="E139" s="5" t="s">
        <v>1559</v>
      </c>
      <c r="F139" s="5" t="s">
        <v>1560</v>
      </c>
      <c r="G139" s="5" t="s">
        <v>2047</v>
      </c>
      <c r="H139" s="4">
        <v>1926</v>
      </c>
      <c r="I139" s="5" t="s">
        <v>2048</v>
      </c>
      <c r="J139" s="5" t="s">
        <v>41</v>
      </c>
      <c r="K139" s="5" t="s">
        <v>2049</v>
      </c>
      <c r="L139" s="5" t="s">
        <v>2050</v>
      </c>
      <c r="M139" s="5" t="s">
        <v>61</v>
      </c>
      <c r="N139" s="5" t="s">
        <v>2051</v>
      </c>
      <c r="O139" s="5" t="s">
        <v>530</v>
      </c>
      <c r="P139" s="5" t="s">
        <v>530</v>
      </c>
      <c r="Q139" s="5" t="s">
        <v>2052</v>
      </c>
      <c r="R139" s="5" t="s">
        <v>2053</v>
      </c>
      <c r="S139" s="7">
        <v>198</v>
      </c>
      <c r="T139" s="5" t="s">
        <v>468</v>
      </c>
      <c r="U139" s="5" t="s">
        <v>2054</v>
      </c>
      <c r="V139" s="5" t="s">
        <v>2055</v>
      </c>
      <c r="W139" s="5" t="s">
        <v>2056</v>
      </c>
      <c r="X139" s="5" t="s">
        <v>2057</v>
      </c>
      <c r="Y139" s="5" t="s">
        <v>2058</v>
      </c>
      <c r="Z139" s="5" t="s">
        <v>2059</v>
      </c>
      <c r="AA139" s="5" t="s">
        <v>2060</v>
      </c>
      <c r="AB139" s="5" t="s">
        <v>2061</v>
      </c>
      <c r="AC139" s="5" t="s">
        <v>50</v>
      </c>
      <c r="AD139" s="5" t="s">
        <v>2062</v>
      </c>
      <c r="AE139" s="5">
        <v>1</v>
      </c>
      <c r="AF139" s="5" t="s">
        <v>2063</v>
      </c>
      <c r="AG139" s="5">
        <v>1926</v>
      </c>
      <c r="AH139" s="8" t="s">
        <v>3233</v>
      </c>
      <c r="AI139" s="5">
        <v>31735066266689</v>
      </c>
    </row>
    <row r="140" spans="1:35" ht="51" x14ac:dyDescent="0.4">
      <c r="A140" s="4">
        <v>3</v>
      </c>
      <c r="B140" s="5">
        <v>127</v>
      </c>
      <c r="C140" s="5" t="s">
        <v>1197</v>
      </c>
      <c r="D140" s="5" t="s">
        <v>1197</v>
      </c>
      <c r="E140" s="5" t="s">
        <v>1559</v>
      </c>
      <c r="F140" s="5" t="s">
        <v>1560</v>
      </c>
      <c r="G140" s="5" t="s">
        <v>2064</v>
      </c>
      <c r="H140" s="4">
        <v>1926</v>
      </c>
      <c r="I140" s="5"/>
      <c r="J140" s="5" t="s">
        <v>429</v>
      </c>
      <c r="K140" s="5" t="s">
        <v>2065</v>
      </c>
      <c r="L140" s="5" t="s">
        <v>1821</v>
      </c>
      <c r="M140" s="5" t="s">
        <v>1378</v>
      </c>
      <c r="N140" s="5" t="s">
        <v>2066</v>
      </c>
      <c r="O140" s="5" t="s">
        <v>45</v>
      </c>
      <c r="P140" s="5" t="s">
        <v>2067</v>
      </c>
      <c r="Q140" s="5" t="s">
        <v>2068</v>
      </c>
      <c r="R140" s="5" t="s">
        <v>2069</v>
      </c>
      <c r="S140" s="7"/>
      <c r="T140" s="5" t="s">
        <v>67</v>
      </c>
      <c r="U140" s="5"/>
      <c r="V140" s="5"/>
      <c r="W140" s="5"/>
      <c r="X140" s="5" t="s">
        <v>2070</v>
      </c>
      <c r="Y140" s="5"/>
      <c r="Z140" s="5"/>
      <c r="AA140" s="5" t="s">
        <v>2071</v>
      </c>
      <c r="AB140" s="5"/>
      <c r="AC140" s="5" t="s">
        <v>50</v>
      </c>
      <c r="AD140" s="5" t="s">
        <v>2072</v>
      </c>
      <c r="AE140" s="5">
        <v>1</v>
      </c>
      <c r="AF140" s="5" t="s">
        <v>1828</v>
      </c>
      <c r="AG140" s="5">
        <v>1926</v>
      </c>
      <c r="AH140" s="8" t="s">
        <v>3233</v>
      </c>
      <c r="AI140" s="5">
        <v>31735066266747</v>
      </c>
    </row>
    <row r="141" spans="1:35" ht="140.25" x14ac:dyDescent="0.4">
      <c r="A141" s="4">
        <v>3</v>
      </c>
      <c r="B141" s="5">
        <v>128</v>
      </c>
      <c r="C141" s="5" t="s">
        <v>1197</v>
      </c>
      <c r="D141" s="5" t="s">
        <v>1197</v>
      </c>
      <c r="E141" s="5" t="s">
        <v>1559</v>
      </c>
      <c r="F141" s="5" t="s">
        <v>1560</v>
      </c>
      <c r="G141" s="5" t="s">
        <v>2073</v>
      </c>
      <c r="H141" s="4">
        <v>1926</v>
      </c>
      <c r="I141" s="5"/>
      <c r="J141" s="5" t="s">
        <v>429</v>
      </c>
      <c r="K141" s="5" t="s">
        <v>2074</v>
      </c>
      <c r="L141" s="5" t="s">
        <v>2075</v>
      </c>
      <c r="M141" s="5" t="s">
        <v>1378</v>
      </c>
      <c r="N141" s="5" t="s">
        <v>2076</v>
      </c>
      <c r="O141" s="5" t="s">
        <v>45</v>
      </c>
      <c r="P141" s="5" t="s">
        <v>2067</v>
      </c>
      <c r="Q141" s="5" t="s">
        <v>2077</v>
      </c>
      <c r="R141" s="5" t="s">
        <v>2078</v>
      </c>
      <c r="S141" s="7"/>
      <c r="T141" s="5" t="s">
        <v>67</v>
      </c>
      <c r="U141" s="5"/>
      <c r="V141" s="5"/>
      <c r="W141" s="5"/>
      <c r="X141" s="5" t="s">
        <v>2079</v>
      </c>
      <c r="Y141" s="5"/>
      <c r="Z141" s="5" t="s">
        <v>2080</v>
      </c>
      <c r="AA141" s="5" t="s">
        <v>2081</v>
      </c>
      <c r="AB141" s="5" t="s">
        <v>2082</v>
      </c>
      <c r="AC141" s="5" t="s">
        <v>50</v>
      </c>
      <c r="AD141" s="5" t="s">
        <v>2083</v>
      </c>
      <c r="AE141" s="5">
        <v>6</v>
      </c>
      <c r="AF141" s="5" t="s">
        <v>2084</v>
      </c>
      <c r="AG141" s="5" t="s">
        <v>2085</v>
      </c>
      <c r="AH141" s="8" t="s">
        <v>3233</v>
      </c>
      <c r="AI141" s="5">
        <v>31735066237607</v>
      </c>
    </row>
    <row r="142" spans="1:35" ht="38.25" x14ac:dyDescent="0.4">
      <c r="A142" s="4">
        <v>3</v>
      </c>
      <c r="B142" s="5">
        <v>129</v>
      </c>
      <c r="C142" s="5" t="s">
        <v>35</v>
      </c>
      <c r="D142" s="5" t="s">
        <v>2086</v>
      </c>
      <c r="E142" s="5" t="s">
        <v>1559</v>
      </c>
      <c r="F142" s="5" t="s">
        <v>1560</v>
      </c>
      <c r="G142" s="5" t="s">
        <v>2087</v>
      </c>
      <c r="H142" s="4">
        <v>1927</v>
      </c>
      <c r="I142" s="5"/>
      <c r="J142" s="5" t="s">
        <v>429</v>
      </c>
      <c r="K142" s="5" t="s">
        <v>2088</v>
      </c>
      <c r="L142" s="5" t="s">
        <v>2089</v>
      </c>
      <c r="M142" s="5" t="s">
        <v>61</v>
      </c>
      <c r="N142" s="5" t="s">
        <v>2090</v>
      </c>
      <c r="O142" s="5" t="s">
        <v>83</v>
      </c>
      <c r="P142" s="5" t="s">
        <v>83</v>
      </c>
      <c r="Q142" s="5" t="s">
        <v>2091</v>
      </c>
      <c r="R142" s="5" t="s">
        <v>2092</v>
      </c>
      <c r="S142" s="7"/>
      <c r="T142" s="5" t="s">
        <v>634</v>
      </c>
      <c r="U142" s="5"/>
      <c r="V142" s="5"/>
      <c r="W142" s="5"/>
      <c r="X142" s="5" t="s">
        <v>2093</v>
      </c>
      <c r="Y142" s="5"/>
      <c r="Z142" s="5"/>
      <c r="AA142" s="5" t="s">
        <v>2094</v>
      </c>
      <c r="AB142" s="5"/>
      <c r="AC142" s="5" t="s">
        <v>313</v>
      </c>
      <c r="AD142" s="5" t="s">
        <v>2095</v>
      </c>
      <c r="AE142" s="5">
        <v>1</v>
      </c>
      <c r="AF142" s="5" t="s">
        <v>2096</v>
      </c>
      <c r="AG142" s="5">
        <v>1927</v>
      </c>
      <c r="AH142" s="8" t="s">
        <v>3233</v>
      </c>
      <c r="AI142" s="5">
        <v>31735066266325</v>
      </c>
    </row>
    <row r="143" spans="1:35" ht="38.25" x14ac:dyDescent="0.4">
      <c r="A143" s="4">
        <v>3</v>
      </c>
      <c r="B143" s="5">
        <v>130</v>
      </c>
      <c r="C143" s="5" t="s">
        <v>1197</v>
      </c>
      <c r="D143" s="5" t="s">
        <v>2097</v>
      </c>
      <c r="E143" s="5" t="s">
        <v>1559</v>
      </c>
      <c r="F143" s="5" t="s">
        <v>1560</v>
      </c>
      <c r="G143" s="5" t="s">
        <v>2098</v>
      </c>
      <c r="H143" s="4">
        <v>1927</v>
      </c>
      <c r="I143" s="5" t="s">
        <v>2099</v>
      </c>
      <c r="J143" s="5" t="s">
        <v>41</v>
      </c>
      <c r="K143" s="5" t="s">
        <v>2100</v>
      </c>
      <c r="L143" s="5" t="s">
        <v>2101</v>
      </c>
      <c r="M143" s="5" t="s">
        <v>61</v>
      </c>
      <c r="N143" s="5" t="s">
        <v>2102</v>
      </c>
      <c r="O143" s="5" t="s">
        <v>121</v>
      </c>
      <c r="P143" s="5" t="s">
        <v>516</v>
      </c>
      <c r="Q143" s="5" t="s">
        <v>2103</v>
      </c>
      <c r="R143" s="5" t="s">
        <v>2104</v>
      </c>
      <c r="S143" s="7">
        <v>27</v>
      </c>
      <c r="T143" s="5" t="s">
        <v>449</v>
      </c>
      <c r="U143" s="5"/>
      <c r="V143" s="5"/>
      <c r="W143" s="5"/>
      <c r="X143" s="5" t="s">
        <v>2105</v>
      </c>
      <c r="Y143" s="5"/>
      <c r="Z143" s="5"/>
      <c r="AA143" s="6" t="s">
        <v>2106</v>
      </c>
      <c r="AB143" s="5" t="s">
        <v>2107</v>
      </c>
      <c r="AC143" s="5" t="s">
        <v>50</v>
      </c>
      <c r="AD143" s="5" t="s">
        <v>2108</v>
      </c>
      <c r="AE143" s="5">
        <v>1</v>
      </c>
      <c r="AF143" s="5" t="s">
        <v>2109</v>
      </c>
      <c r="AG143" s="5">
        <v>1927</v>
      </c>
      <c r="AH143" s="8" t="s">
        <v>3233</v>
      </c>
      <c r="AI143" s="5">
        <v>31735066266697</v>
      </c>
    </row>
    <row r="144" spans="1:35" ht="102" x14ac:dyDescent="0.4">
      <c r="A144" s="4">
        <v>3</v>
      </c>
      <c r="B144" s="5">
        <v>131</v>
      </c>
      <c r="C144" s="5" t="s">
        <v>95</v>
      </c>
      <c r="D144" s="5" t="s">
        <v>96</v>
      </c>
      <c r="E144" s="5" t="s">
        <v>1559</v>
      </c>
      <c r="F144" s="5" t="s">
        <v>1560</v>
      </c>
      <c r="G144" s="5" t="s">
        <v>2110</v>
      </c>
      <c r="H144" s="4">
        <v>1926</v>
      </c>
      <c r="I144" s="5" t="s">
        <v>2111</v>
      </c>
      <c r="J144" s="5" t="s">
        <v>41</v>
      </c>
      <c r="K144" s="5" t="s">
        <v>1753</v>
      </c>
      <c r="L144" s="5" t="s">
        <v>2112</v>
      </c>
      <c r="M144" s="5" t="s">
        <v>61</v>
      </c>
      <c r="N144" s="5" t="s">
        <v>2113</v>
      </c>
      <c r="O144" s="5" t="s">
        <v>45</v>
      </c>
      <c r="P144" s="5" t="s">
        <v>45</v>
      </c>
      <c r="Q144" s="5" t="s">
        <v>2114</v>
      </c>
      <c r="R144" s="5" t="s">
        <v>2115</v>
      </c>
      <c r="S144" s="7">
        <v>198</v>
      </c>
      <c r="T144" s="5" t="s">
        <v>634</v>
      </c>
      <c r="U144" s="5"/>
      <c r="V144" s="5"/>
      <c r="W144" s="5"/>
      <c r="X144" s="5" t="s">
        <v>2116</v>
      </c>
      <c r="Y144" s="5" t="s">
        <v>2117</v>
      </c>
      <c r="Z144" s="5" t="s">
        <v>2118</v>
      </c>
      <c r="AA144" s="5" t="s">
        <v>2119</v>
      </c>
      <c r="AB144" s="5" t="s">
        <v>2120</v>
      </c>
      <c r="AC144" s="5" t="s">
        <v>50</v>
      </c>
      <c r="AD144" s="5" t="s">
        <v>2121</v>
      </c>
      <c r="AE144" s="5">
        <v>2</v>
      </c>
      <c r="AF144" s="5" t="s">
        <v>2122</v>
      </c>
      <c r="AG144" s="5" t="s">
        <v>2123</v>
      </c>
      <c r="AH144" s="8" t="s">
        <v>3233</v>
      </c>
      <c r="AI144" s="5">
        <v>31735066266549</v>
      </c>
    </row>
    <row r="145" spans="1:35" ht="114.75" x14ac:dyDescent="0.4">
      <c r="A145" s="4">
        <v>3</v>
      </c>
      <c r="B145" s="5" t="s">
        <v>2124</v>
      </c>
      <c r="C145" s="5" t="s">
        <v>53</v>
      </c>
      <c r="D145" s="5" t="s">
        <v>54</v>
      </c>
      <c r="E145" s="5" t="s">
        <v>1559</v>
      </c>
      <c r="F145" s="5" t="s">
        <v>1560</v>
      </c>
      <c r="G145" s="5" t="s">
        <v>2125</v>
      </c>
      <c r="H145" s="4">
        <v>1918</v>
      </c>
      <c r="I145" s="5" t="s">
        <v>2126</v>
      </c>
      <c r="J145" s="5" t="s">
        <v>41</v>
      </c>
      <c r="K145" s="5" t="s">
        <v>2127</v>
      </c>
      <c r="L145" s="5" t="s">
        <v>2128</v>
      </c>
      <c r="M145" s="5" t="s">
        <v>1378</v>
      </c>
      <c r="N145" s="5" t="s">
        <v>2129</v>
      </c>
      <c r="O145" s="5" t="s">
        <v>45</v>
      </c>
      <c r="P145" s="5" t="s">
        <v>45</v>
      </c>
      <c r="Q145" s="5" t="s">
        <v>2130</v>
      </c>
      <c r="R145" s="5" t="s">
        <v>2131</v>
      </c>
      <c r="S145" s="7">
        <v>28</v>
      </c>
      <c r="T145" s="5" t="s">
        <v>634</v>
      </c>
      <c r="U145" s="5" t="s">
        <v>2132</v>
      </c>
      <c r="V145" s="5"/>
      <c r="W145" s="5"/>
      <c r="X145" s="5" t="s">
        <v>2133</v>
      </c>
      <c r="Y145" s="5"/>
      <c r="Z145" s="5" t="s">
        <v>2134</v>
      </c>
      <c r="AA145" s="5" t="s">
        <v>2135</v>
      </c>
      <c r="AB145" s="5" t="s">
        <v>2136</v>
      </c>
      <c r="AC145" s="5" t="s">
        <v>164</v>
      </c>
      <c r="AD145" s="5" t="s">
        <v>2137</v>
      </c>
      <c r="AE145" s="5">
        <v>1</v>
      </c>
      <c r="AF145" s="5" t="s">
        <v>2138</v>
      </c>
      <c r="AG145" s="5">
        <v>1927</v>
      </c>
      <c r="AH145" s="8" t="s">
        <v>3233</v>
      </c>
      <c r="AI145" s="5">
        <v>31735068223407</v>
      </c>
    </row>
    <row r="146" spans="1:35" ht="102" x14ac:dyDescent="0.4">
      <c r="A146" s="4">
        <v>3</v>
      </c>
      <c r="B146" s="5">
        <v>132</v>
      </c>
      <c r="C146" s="5" t="s">
        <v>53</v>
      </c>
      <c r="D146" s="5" t="s">
        <v>541</v>
      </c>
      <c r="E146" s="5" t="s">
        <v>1900</v>
      </c>
      <c r="F146" s="5" t="s">
        <v>1560</v>
      </c>
      <c r="G146" s="5" t="s">
        <v>2139</v>
      </c>
      <c r="H146" s="4">
        <v>1928</v>
      </c>
      <c r="I146" s="5" t="s">
        <v>2140</v>
      </c>
      <c r="J146" s="5" t="s">
        <v>41</v>
      </c>
      <c r="K146" s="5" t="s">
        <v>2141</v>
      </c>
      <c r="L146" s="5" t="s">
        <v>2142</v>
      </c>
      <c r="M146" s="5" t="s">
        <v>61</v>
      </c>
      <c r="N146" s="5" t="s">
        <v>2143</v>
      </c>
      <c r="O146" s="5" t="s">
        <v>45</v>
      </c>
      <c r="P146" s="5" t="s">
        <v>2144</v>
      </c>
      <c r="Q146" s="5" t="s">
        <v>2145</v>
      </c>
      <c r="R146" s="5" t="s">
        <v>2146</v>
      </c>
      <c r="S146" s="7">
        <v>220</v>
      </c>
      <c r="T146" s="5" t="s">
        <v>634</v>
      </c>
      <c r="U146" s="5" t="s">
        <v>2147</v>
      </c>
      <c r="V146" s="5" t="s">
        <v>2148</v>
      </c>
      <c r="W146" s="5"/>
      <c r="X146" s="5" t="s">
        <v>2149</v>
      </c>
      <c r="Y146" s="5" t="s">
        <v>2150</v>
      </c>
      <c r="Z146" s="5" t="s">
        <v>2151</v>
      </c>
      <c r="AA146" s="5" t="s">
        <v>2152</v>
      </c>
      <c r="AB146" s="5" t="s">
        <v>2153</v>
      </c>
      <c r="AC146" s="5" t="s">
        <v>164</v>
      </c>
      <c r="AD146" s="5" t="s">
        <v>2154</v>
      </c>
      <c r="AE146" s="5">
        <v>2</v>
      </c>
      <c r="AF146" s="5" t="s">
        <v>2155</v>
      </c>
      <c r="AG146" s="5" t="s">
        <v>2156</v>
      </c>
      <c r="AH146" s="8" t="s">
        <v>3233</v>
      </c>
      <c r="AI146" s="5">
        <v>31735066267489</v>
      </c>
    </row>
    <row r="147" spans="1:35" ht="38.25" x14ac:dyDescent="0.4">
      <c r="A147" s="4">
        <v>3</v>
      </c>
      <c r="B147" s="5">
        <v>133</v>
      </c>
      <c r="C147" s="5" t="s">
        <v>53</v>
      </c>
      <c r="D147" s="5" t="s">
        <v>541</v>
      </c>
      <c r="E147" s="5" t="s">
        <v>1900</v>
      </c>
      <c r="F147" s="5" t="s">
        <v>1560</v>
      </c>
      <c r="G147" s="5" t="s">
        <v>2157</v>
      </c>
      <c r="H147" s="4">
        <v>1928</v>
      </c>
      <c r="I147" s="5" t="s">
        <v>2158</v>
      </c>
      <c r="J147" s="5" t="s">
        <v>41</v>
      </c>
      <c r="K147" s="5" t="s">
        <v>2159</v>
      </c>
      <c r="L147" s="5" t="s">
        <v>2160</v>
      </c>
      <c r="M147" s="5" t="s">
        <v>61</v>
      </c>
      <c r="N147" s="5" t="s">
        <v>2161</v>
      </c>
      <c r="O147" s="5" t="s">
        <v>530</v>
      </c>
      <c r="P147" s="5" t="s">
        <v>2162</v>
      </c>
      <c r="Q147" s="5" t="s">
        <v>2163</v>
      </c>
      <c r="R147" s="5" t="s">
        <v>2164</v>
      </c>
      <c r="S147" s="7">
        <v>23000</v>
      </c>
      <c r="T147" s="5" t="s">
        <v>449</v>
      </c>
      <c r="U147" s="5"/>
      <c r="V147" s="5" t="s">
        <v>2165</v>
      </c>
      <c r="W147" s="5" t="s">
        <v>2166</v>
      </c>
      <c r="X147" s="5" t="s">
        <v>2167</v>
      </c>
      <c r="Y147" s="5" t="s">
        <v>2168</v>
      </c>
      <c r="Z147" s="5"/>
      <c r="AA147" s="5" t="s">
        <v>2169</v>
      </c>
      <c r="AB147" s="5" t="s">
        <v>2170</v>
      </c>
      <c r="AC147" s="5" t="s">
        <v>50</v>
      </c>
      <c r="AD147" s="5" t="s">
        <v>2171</v>
      </c>
      <c r="AE147" s="5">
        <v>1</v>
      </c>
      <c r="AF147" s="5" t="s">
        <v>2172</v>
      </c>
      <c r="AG147" s="5"/>
      <c r="AH147" s="8" t="s">
        <v>3233</v>
      </c>
      <c r="AI147" s="5">
        <v>31735066266614</v>
      </c>
    </row>
    <row r="148" spans="1:35" ht="38.25" x14ac:dyDescent="0.4">
      <c r="A148" s="4">
        <v>3</v>
      </c>
      <c r="B148" s="5">
        <v>134</v>
      </c>
      <c r="C148" s="5" t="s">
        <v>243</v>
      </c>
      <c r="D148" s="5" t="s">
        <v>1558</v>
      </c>
      <c r="E148" s="5" t="s">
        <v>1900</v>
      </c>
      <c r="F148" s="5" t="s">
        <v>1560</v>
      </c>
      <c r="G148" s="5" t="s">
        <v>2173</v>
      </c>
      <c r="H148" s="4">
        <v>1928</v>
      </c>
      <c r="I148" s="5"/>
      <c r="J148" s="5" t="s">
        <v>61</v>
      </c>
      <c r="K148" s="5" t="s">
        <v>2174</v>
      </c>
      <c r="L148" s="5" t="s">
        <v>2175</v>
      </c>
      <c r="M148" s="5" t="s">
        <v>2176</v>
      </c>
      <c r="N148" s="5" t="s">
        <v>2177</v>
      </c>
      <c r="O148" s="5" t="s">
        <v>340</v>
      </c>
      <c r="P148" s="5" t="s">
        <v>340</v>
      </c>
      <c r="Q148" s="5" t="s">
        <v>2178</v>
      </c>
      <c r="R148" s="5" t="s">
        <v>2179</v>
      </c>
      <c r="S148" s="7">
        <v>1350</v>
      </c>
      <c r="T148" s="5" t="s">
        <v>634</v>
      </c>
      <c r="U148" s="5"/>
      <c r="V148" s="5"/>
      <c r="W148" s="5"/>
      <c r="X148" s="5" t="s">
        <v>2180</v>
      </c>
      <c r="Y148" s="5"/>
      <c r="Z148" s="5"/>
      <c r="AA148" s="5" t="s">
        <v>2181</v>
      </c>
      <c r="AB148" s="5" t="s">
        <v>2182</v>
      </c>
      <c r="AC148" s="5" t="s">
        <v>50</v>
      </c>
      <c r="AD148" s="5" t="s">
        <v>2183</v>
      </c>
      <c r="AE148" s="5">
        <v>1</v>
      </c>
      <c r="AF148" s="5" t="s">
        <v>2184</v>
      </c>
      <c r="AG148" s="5">
        <v>1928</v>
      </c>
      <c r="AH148" s="8" t="s">
        <v>3233</v>
      </c>
      <c r="AI148" s="5">
        <v>31735066266341</v>
      </c>
    </row>
    <row r="149" spans="1:35" ht="51" x14ac:dyDescent="0.4">
      <c r="A149" s="4">
        <v>3</v>
      </c>
      <c r="B149" s="5">
        <v>135</v>
      </c>
      <c r="C149" s="5" t="s">
        <v>53</v>
      </c>
      <c r="D149" s="5" t="s">
        <v>541</v>
      </c>
      <c r="E149" s="5" t="s">
        <v>1900</v>
      </c>
      <c r="F149" s="5" t="s">
        <v>1560</v>
      </c>
      <c r="G149" s="5" t="s">
        <v>2157</v>
      </c>
      <c r="H149" s="4">
        <v>1928</v>
      </c>
      <c r="I149" s="5" t="s">
        <v>2185</v>
      </c>
      <c r="J149" s="5" t="s">
        <v>41</v>
      </c>
      <c r="K149" s="5" t="s">
        <v>2186</v>
      </c>
      <c r="L149" s="5" t="s">
        <v>2187</v>
      </c>
      <c r="M149" s="5" t="s">
        <v>61</v>
      </c>
      <c r="N149" s="5" t="s">
        <v>2161</v>
      </c>
      <c r="O149" s="5" t="s">
        <v>261</v>
      </c>
      <c r="P149" s="5" t="s">
        <v>2188</v>
      </c>
      <c r="Q149" s="5" t="s">
        <v>2189</v>
      </c>
      <c r="R149" s="5" t="s">
        <v>2190</v>
      </c>
      <c r="S149" s="7">
        <v>11500</v>
      </c>
      <c r="T149" s="5" t="s">
        <v>449</v>
      </c>
      <c r="U149" s="5"/>
      <c r="V149" s="5" t="s">
        <v>2191</v>
      </c>
      <c r="W149" s="5" t="s">
        <v>2166</v>
      </c>
      <c r="X149" s="5" t="s">
        <v>2192</v>
      </c>
      <c r="Y149" s="5" t="s">
        <v>2193</v>
      </c>
      <c r="Z149" s="5"/>
      <c r="AA149" s="5" t="s">
        <v>2194</v>
      </c>
      <c r="AB149" s="5" t="s">
        <v>2170</v>
      </c>
      <c r="AC149" s="5" t="s">
        <v>50</v>
      </c>
      <c r="AD149" s="6" t="s">
        <v>2195</v>
      </c>
      <c r="AE149" s="5">
        <v>1</v>
      </c>
      <c r="AF149" s="5" t="s">
        <v>2196</v>
      </c>
      <c r="AG149" s="5"/>
      <c r="AH149" s="8" t="s">
        <v>3233</v>
      </c>
      <c r="AI149" s="5">
        <v>31735066266606</v>
      </c>
    </row>
    <row r="150" spans="1:35" ht="63.75" x14ac:dyDescent="0.4">
      <c r="A150" s="4">
        <v>3</v>
      </c>
      <c r="B150" s="5">
        <v>136</v>
      </c>
      <c r="C150" s="5" t="s">
        <v>1197</v>
      </c>
      <c r="D150" s="5" t="s">
        <v>1197</v>
      </c>
      <c r="E150" s="5" t="s">
        <v>1900</v>
      </c>
      <c r="F150" s="5" t="s">
        <v>1560</v>
      </c>
      <c r="G150" s="5" t="s">
        <v>2197</v>
      </c>
      <c r="H150" s="4">
        <v>1928</v>
      </c>
      <c r="I150" s="5"/>
      <c r="J150" s="5" t="s">
        <v>429</v>
      </c>
      <c r="K150" s="5" t="s">
        <v>2198</v>
      </c>
      <c r="L150" s="5" t="s">
        <v>2199</v>
      </c>
      <c r="M150" s="5" t="s">
        <v>1378</v>
      </c>
      <c r="N150" s="5" t="s">
        <v>2076</v>
      </c>
      <c r="O150" s="5" t="s">
        <v>45</v>
      </c>
      <c r="P150" s="5" t="s">
        <v>2067</v>
      </c>
      <c r="Q150" s="5" t="s">
        <v>2200</v>
      </c>
      <c r="R150" s="5" t="s">
        <v>2201</v>
      </c>
      <c r="S150" s="7"/>
      <c r="T150" s="5" t="s">
        <v>67</v>
      </c>
      <c r="U150" s="5"/>
      <c r="V150" s="5"/>
      <c r="W150" s="5"/>
      <c r="X150" s="5" t="s">
        <v>2202</v>
      </c>
      <c r="Y150" s="5"/>
      <c r="Z150" s="5"/>
      <c r="AA150" s="5" t="s">
        <v>2203</v>
      </c>
      <c r="AB150" s="5"/>
      <c r="AC150" s="5" t="s">
        <v>50</v>
      </c>
      <c r="AD150" s="5" t="s">
        <v>2204</v>
      </c>
      <c r="AE150" s="5">
        <v>1</v>
      </c>
      <c r="AF150" s="5" t="s">
        <v>2205</v>
      </c>
      <c r="AG150" s="5">
        <v>1928</v>
      </c>
      <c r="AH150" s="8" t="s">
        <v>3233</v>
      </c>
      <c r="AI150" s="5">
        <v>31735066266713</v>
      </c>
    </row>
    <row r="151" spans="1:35" ht="89.25" x14ac:dyDescent="0.4">
      <c r="A151" s="4">
        <v>3</v>
      </c>
      <c r="B151" s="5">
        <v>137</v>
      </c>
      <c r="C151" s="5" t="s">
        <v>243</v>
      </c>
      <c r="D151" s="5" t="s">
        <v>1558</v>
      </c>
      <c r="E151" s="5" t="s">
        <v>1900</v>
      </c>
      <c r="F151" s="5" t="s">
        <v>1560</v>
      </c>
      <c r="G151" s="5" t="s">
        <v>2206</v>
      </c>
      <c r="H151" s="4">
        <v>1928</v>
      </c>
      <c r="I151" s="5"/>
      <c r="J151" s="5" t="s">
        <v>61</v>
      </c>
      <c r="K151" s="5" t="s">
        <v>2174</v>
      </c>
      <c r="L151" s="5" t="s">
        <v>2207</v>
      </c>
      <c r="M151" s="5" t="s">
        <v>171</v>
      </c>
      <c r="N151" s="5" t="s">
        <v>2177</v>
      </c>
      <c r="O151" s="5" t="s">
        <v>45</v>
      </c>
      <c r="P151" s="5" t="s">
        <v>45</v>
      </c>
      <c r="Q151" s="5" t="s">
        <v>2208</v>
      </c>
      <c r="R151" s="5" t="s">
        <v>2209</v>
      </c>
      <c r="S151" s="7">
        <v>41</v>
      </c>
      <c r="T151" s="5" t="s">
        <v>634</v>
      </c>
      <c r="U151" s="5"/>
      <c r="V151" s="5"/>
      <c r="W151" s="5"/>
      <c r="X151" s="5" t="s">
        <v>2210</v>
      </c>
      <c r="Y151" s="5"/>
      <c r="Z151" s="5" t="s">
        <v>2211</v>
      </c>
      <c r="AA151" s="5" t="s">
        <v>2212</v>
      </c>
      <c r="AB151" s="5"/>
      <c r="AC151" s="5" t="s">
        <v>50</v>
      </c>
      <c r="AD151" s="5" t="s">
        <v>2213</v>
      </c>
      <c r="AE151" s="5">
        <v>2</v>
      </c>
      <c r="AF151" s="5" t="s">
        <v>2214</v>
      </c>
      <c r="AG151" s="5">
        <v>1928</v>
      </c>
      <c r="AH151" s="8" t="s">
        <v>3233</v>
      </c>
      <c r="AI151" s="5">
        <v>31735066237433</v>
      </c>
    </row>
    <row r="152" spans="1:35" ht="38.25" x14ac:dyDescent="0.4">
      <c r="A152" s="4">
        <v>3</v>
      </c>
      <c r="B152" s="5">
        <v>138</v>
      </c>
      <c r="C152" s="5" t="s">
        <v>53</v>
      </c>
      <c r="D152" s="5" t="s">
        <v>541</v>
      </c>
      <c r="E152" s="5" t="s">
        <v>1900</v>
      </c>
      <c r="F152" s="5" t="s">
        <v>1560</v>
      </c>
      <c r="G152" s="5" t="s">
        <v>2215</v>
      </c>
      <c r="H152" s="4">
        <v>1928</v>
      </c>
      <c r="I152" s="5" t="s">
        <v>2140</v>
      </c>
      <c r="J152" s="5" t="s">
        <v>41</v>
      </c>
      <c r="K152" s="5" t="s">
        <v>2216</v>
      </c>
      <c r="L152" s="5" t="s">
        <v>2217</v>
      </c>
      <c r="M152" s="5" t="s">
        <v>61</v>
      </c>
      <c r="N152" s="5" t="s">
        <v>2218</v>
      </c>
      <c r="O152" s="5" t="s">
        <v>45</v>
      </c>
      <c r="P152" s="5" t="s">
        <v>45</v>
      </c>
      <c r="Q152" s="5" t="s">
        <v>2219</v>
      </c>
      <c r="R152" s="5" t="s">
        <v>2220</v>
      </c>
      <c r="S152" s="7">
        <v>150</v>
      </c>
      <c r="T152" s="5" t="s">
        <v>634</v>
      </c>
      <c r="U152" s="5" t="s">
        <v>2147</v>
      </c>
      <c r="V152" s="5" t="s">
        <v>2221</v>
      </c>
      <c r="W152" s="5"/>
      <c r="X152" s="5" t="s">
        <v>71</v>
      </c>
      <c r="Y152" s="5" t="s">
        <v>2222</v>
      </c>
      <c r="Z152" s="5"/>
      <c r="AA152" s="5" t="s">
        <v>2223</v>
      </c>
      <c r="AB152" s="5"/>
      <c r="AC152" s="5" t="s">
        <v>164</v>
      </c>
      <c r="AD152" s="6" t="s">
        <v>2224</v>
      </c>
      <c r="AE152" s="5">
        <v>1</v>
      </c>
      <c r="AF152" s="5" t="s">
        <v>2225</v>
      </c>
      <c r="AG152" s="5">
        <v>1928</v>
      </c>
      <c r="AH152" s="8" t="s">
        <v>3233</v>
      </c>
      <c r="AI152" s="5">
        <v>31735066237748</v>
      </c>
    </row>
    <row r="153" spans="1:35" ht="38.25" x14ac:dyDescent="0.4">
      <c r="A153" s="4">
        <v>3</v>
      </c>
      <c r="B153" s="5">
        <v>139</v>
      </c>
      <c r="C153" s="5" t="s">
        <v>243</v>
      </c>
      <c r="D153" s="5" t="s">
        <v>1558</v>
      </c>
      <c r="E153" s="5" t="s">
        <v>1900</v>
      </c>
      <c r="F153" s="5" t="s">
        <v>1560</v>
      </c>
      <c r="G153" s="5" t="s">
        <v>2226</v>
      </c>
      <c r="H153" s="4">
        <v>1929</v>
      </c>
      <c r="I153" s="5" t="s">
        <v>2227</v>
      </c>
      <c r="J153" s="5" t="s">
        <v>429</v>
      </c>
      <c r="K153" s="5" t="s">
        <v>2228</v>
      </c>
      <c r="L153" s="5" t="s">
        <v>2229</v>
      </c>
      <c r="M153" s="5" t="s">
        <v>171</v>
      </c>
      <c r="N153" s="5" t="s">
        <v>2230</v>
      </c>
      <c r="O153" s="5" t="s">
        <v>45</v>
      </c>
      <c r="P153" s="5" t="s">
        <v>45</v>
      </c>
      <c r="Q153" s="5" t="s">
        <v>2231</v>
      </c>
      <c r="R153" s="5" t="s">
        <v>2232</v>
      </c>
      <c r="S153" s="7"/>
      <c r="T153" s="5"/>
      <c r="U153" s="5"/>
      <c r="V153" s="5"/>
      <c r="W153" s="5"/>
      <c r="X153" s="5" t="s">
        <v>2233</v>
      </c>
      <c r="Y153" s="5"/>
      <c r="Z153" s="5"/>
      <c r="AA153" s="5" t="s">
        <v>2234</v>
      </c>
      <c r="AB153" s="5"/>
      <c r="AC153" s="5" t="s">
        <v>50</v>
      </c>
      <c r="AD153" s="5" t="s">
        <v>2235</v>
      </c>
      <c r="AE153" s="5">
        <v>1</v>
      </c>
      <c r="AF153" s="5" t="s">
        <v>2236</v>
      </c>
      <c r="AG153" s="5">
        <v>1929</v>
      </c>
      <c r="AH153" s="8" t="s">
        <v>3233</v>
      </c>
      <c r="AI153" s="5">
        <v>31735064607439</v>
      </c>
    </row>
    <row r="154" spans="1:35" ht="38.25" x14ac:dyDescent="0.4">
      <c r="A154" s="4">
        <v>3</v>
      </c>
      <c r="B154" s="5">
        <v>140</v>
      </c>
      <c r="C154" s="5" t="s">
        <v>53</v>
      </c>
      <c r="D154" s="5" t="s">
        <v>54</v>
      </c>
      <c r="E154" s="5" t="s">
        <v>1900</v>
      </c>
      <c r="F154" s="5" t="s">
        <v>1560</v>
      </c>
      <c r="G154" s="5" t="s">
        <v>2237</v>
      </c>
      <c r="H154" s="4">
        <v>1929</v>
      </c>
      <c r="I154" s="5" t="s">
        <v>2238</v>
      </c>
      <c r="J154" s="5" t="s">
        <v>41</v>
      </c>
      <c r="K154" s="5"/>
      <c r="L154" s="5" t="s">
        <v>2239</v>
      </c>
      <c r="M154" s="5" t="s">
        <v>735</v>
      </c>
      <c r="N154" s="5" t="s">
        <v>2240</v>
      </c>
      <c r="O154" s="5" t="s">
        <v>45</v>
      </c>
      <c r="P154" s="5" t="s">
        <v>45</v>
      </c>
      <c r="Q154" s="5" t="s">
        <v>2241</v>
      </c>
      <c r="R154" s="5" t="s">
        <v>2242</v>
      </c>
      <c r="S154" s="7">
        <v>130</v>
      </c>
      <c r="T154" s="5" t="s">
        <v>634</v>
      </c>
      <c r="U154" s="5" t="s">
        <v>2243</v>
      </c>
      <c r="V154" s="5"/>
      <c r="W154" s="5"/>
      <c r="X154" s="5" t="s">
        <v>2244</v>
      </c>
      <c r="Y154" s="5"/>
      <c r="Z154" s="5" t="s">
        <v>2245</v>
      </c>
      <c r="AA154" s="5" t="s">
        <v>2246</v>
      </c>
      <c r="AB154" s="5"/>
      <c r="AC154" s="5" t="s">
        <v>50</v>
      </c>
      <c r="AD154" s="5" t="s">
        <v>2247</v>
      </c>
      <c r="AE154" s="5">
        <v>1</v>
      </c>
      <c r="AF154" s="5" t="s">
        <v>2248</v>
      </c>
      <c r="AG154" s="5">
        <v>1929</v>
      </c>
      <c r="AH154" s="8" t="s">
        <v>3233</v>
      </c>
      <c r="AI154" s="5">
        <v>31735066267869</v>
      </c>
    </row>
    <row r="155" spans="1:35" ht="51" x14ac:dyDescent="0.4">
      <c r="A155" s="4">
        <v>3</v>
      </c>
      <c r="B155" s="5" t="s">
        <v>2249</v>
      </c>
      <c r="C155" s="5" t="s">
        <v>243</v>
      </c>
      <c r="D155" s="5" t="s">
        <v>1558</v>
      </c>
      <c r="E155" s="5" t="s">
        <v>1900</v>
      </c>
      <c r="F155" s="5" t="s">
        <v>1560</v>
      </c>
      <c r="G155" s="5" t="s">
        <v>2250</v>
      </c>
      <c r="H155" s="4">
        <v>1929</v>
      </c>
      <c r="I155" s="5" t="s">
        <v>2251</v>
      </c>
      <c r="J155" s="5" t="s">
        <v>41</v>
      </c>
      <c r="K155" s="5" t="s">
        <v>2252</v>
      </c>
      <c r="L155" s="5" t="s">
        <v>2253</v>
      </c>
      <c r="M155" s="5" t="s">
        <v>735</v>
      </c>
      <c r="N155" s="5" t="s">
        <v>2254</v>
      </c>
      <c r="O155" s="5" t="s">
        <v>45</v>
      </c>
      <c r="P155" s="5" t="s">
        <v>45</v>
      </c>
      <c r="Q155" s="5" t="s">
        <v>2255</v>
      </c>
      <c r="R155" s="5" t="s">
        <v>2256</v>
      </c>
      <c r="S155" s="7">
        <v>80</v>
      </c>
      <c r="T155" s="5" t="s">
        <v>634</v>
      </c>
      <c r="U155" s="5" t="s">
        <v>2257</v>
      </c>
      <c r="V155" s="5"/>
      <c r="W155" s="5"/>
      <c r="X155" s="5" t="s">
        <v>2258</v>
      </c>
      <c r="Y155" s="5"/>
      <c r="Z155" s="5"/>
      <c r="AA155" s="5" t="s">
        <v>2259</v>
      </c>
      <c r="AB155" s="5" t="s">
        <v>2260</v>
      </c>
      <c r="AC155" s="5" t="s">
        <v>50</v>
      </c>
      <c r="AD155" s="5" t="s">
        <v>2261</v>
      </c>
      <c r="AE155" s="5">
        <v>1</v>
      </c>
      <c r="AF155" s="5" t="s">
        <v>2262</v>
      </c>
      <c r="AG155" s="5">
        <v>1929</v>
      </c>
      <c r="AH155" s="8" t="s">
        <v>3233</v>
      </c>
      <c r="AI155" s="5">
        <v>31735068223415</v>
      </c>
    </row>
    <row r="156" spans="1:35" ht="102" x14ac:dyDescent="0.4">
      <c r="A156" s="4">
        <v>3</v>
      </c>
      <c r="B156" s="5" t="s">
        <v>2263</v>
      </c>
      <c r="C156" s="5" t="s">
        <v>53</v>
      </c>
      <c r="D156" s="5" t="s">
        <v>541</v>
      </c>
      <c r="E156" s="5" t="s">
        <v>1900</v>
      </c>
      <c r="F156" s="5" t="s">
        <v>1560</v>
      </c>
      <c r="G156" s="5" t="s">
        <v>2264</v>
      </c>
      <c r="H156" s="4">
        <v>1929</v>
      </c>
      <c r="I156" s="5" t="s">
        <v>2265</v>
      </c>
      <c r="J156" s="5" t="s">
        <v>1966</v>
      </c>
      <c r="K156" s="5" t="s">
        <v>2266</v>
      </c>
      <c r="L156" s="5" t="s">
        <v>2267</v>
      </c>
      <c r="M156" s="5" t="s">
        <v>735</v>
      </c>
      <c r="N156" s="5" t="s">
        <v>2268</v>
      </c>
      <c r="O156" s="5" t="s">
        <v>45</v>
      </c>
      <c r="P156" s="5" t="s">
        <v>45</v>
      </c>
      <c r="Q156" s="5" t="s">
        <v>2269</v>
      </c>
      <c r="R156" s="5" t="s">
        <v>2270</v>
      </c>
      <c r="S156" s="7">
        <v>75</v>
      </c>
      <c r="T156" s="5" t="s">
        <v>634</v>
      </c>
      <c r="U156" s="5" t="s">
        <v>2271</v>
      </c>
      <c r="V156" s="5" t="s">
        <v>2272</v>
      </c>
      <c r="W156" s="5" t="s">
        <v>2271</v>
      </c>
      <c r="X156" s="5" t="s">
        <v>2273</v>
      </c>
      <c r="Y156" s="5" t="s">
        <v>2274</v>
      </c>
      <c r="Z156" s="5" t="s">
        <v>2275</v>
      </c>
      <c r="AA156" s="5" t="s">
        <v>2276</v>
      </c>
      <c r="AB156" s="5" t="s">
        <v>2277</v>
      </c>
      <c r="AC156" s="5" t="s">
        <v>50</v>
      </c>
      <c r="AD156" s="5" t="s">
        <v>2278</v>
      </c>
      <c r="AE156" s="5">
        <v>2</v>
      </c>
      <c r="AF156" s="5" t="s">
        <v>2279</v>
      </c>
      <c r="AG156" s="5" t="s">
        <v>2280</v>
      </c>
      <c r="AH156" s="8" t="s">
        <v>3233</v>
      </c>
      <c r="AI156" s="5">
        <v>31735068223423</v>
      </c>
    </row>
    <row r="157" spans="1:35" ht="114.75" x14ac:dyDescent="0.4">
      <c r="A157" s="4">
        <v>3</v>
      </c>
      <c r="B157" s="5" t="s">
        <v>2281</v>
      </c>
      <c r="C157" s="5" t="s">
        <v>243</v>
      </c>
      <c r="D157" s="5" t="s">
        <v>1558</v>
      </c>
      <c r="E157" s="5" t="s">
        <v>1559</v>
      </c>
      <c r="F157" s="5" t="s">
        <v>1560</v>
      </c>
      <c r="G157" s="5" t="s">
        <v>2282</v>
      </c>
      <c r="H157" s="4">
        <v>1927</v>
      </c>
      <c r="I157" s="5" t="s">
        <v>2283</v>
      </c>
      <c r="J157" s="5" t="s">
        <v>41</v>
      </c>
      <c r="K157" s="5"/>
      <c r="L157" s="5" t="s">
        <v>2284</v>
      </c>
      <c r="M157" s="5" t="s">
        <v>735</v>
      </c>
      <c r="N157" s="5" t="s">
        <v>2285</v>
      </c>
      <c r="O157" s="5" t="s">
        <v>45</v>
      </c>
      <c r="P157" s="5" t="s">
        <v>45</v>
      </c>
      <c r="Q157" s="5" t="s">
        <v>2286</v>
      </c>
      <c r="R157" s="5" t="s">
        <v>2287</v>
      </c>
      <c r="S157" s="7">
        <v>65</v>
      </c>
      <c r="T157" s="5" t="s">
        <v>634</v>
      </c>
      <c r="U157" s="5" t="s">
        <v>2288</v>
      </c>
      <c r="V157" s="5"/>
      <c r="W157" s="5"/>
      <c r="X157" s="5" t="s">
        <v>2289</v>
      </c>
      <c r="Y157" s="5"/>
      <c r="Z157" s="5" t="s">
        <v>2290</v>
      </c>
      <c r="AA157" s="5" t="s">
        <v>2291</v>
      </c>
      <c r="AB157" s="5"/>
      <c r="AC157" s="5" t="s">
        <v>50</v>
      </c>
      <c r="AD157" s="5" t="s">
        <v>2292</v>
      </c>
      <c r="AE157" s="5">
        <v>2</v>
      </c>
      <c r="AF157" s="5" t="s">
        <v>2293</v>
      </c>
      <c r="AG157" s="5" t="s">
        <v>2280</v>
      </c>
      <c r="AH157" s="8" t="s">
        <v>3233</v>
      </c>
      <c r="AI157" s="5">
        <v>31735068223431</v>
      </c>
    </row>
    <row r="158" spans="1:35" ht="63.75" x14ac:dyDescent="0.4">
      <c r="A158" s="4">
        <v>3</v>
      </c>
      <c r="B158" s="5">
        <v>141</v>
      </c>
      <c r="C158" s="5" t="s">
        <v>243</v>
      </c>
      <c r="D158" s="5" t="s">
        <v>1558</v>
      </c>
      <c r="E158" s="5" t="s">
        <v>1900</v>
      </c>
      <c r="F158" s="5" t="s">
        <v>1560</v>
      </c>
      <c r="G158" s="5" t="s">
        <v>2294</v>
      </c>
      <c r="H158" s="4">
        <v>1930</v>
      </c>
      <c r="I158" s="5" t="s">
        <v>2227</v>
      </c>
      <c r="J158" s="5" t="s">
        <v>429</v>
      </c>
      <c r="K158" s="5" t="s">
        <v>2295</v>
      </c>
      <c r="L158" s="5" t="s">
        <v>2296</v>
      </c>
      <c r="M158" s="5" t="s">
        <v>171</v>
      </c>
      <c r="N158" s="5" t="s">
        <v>2297</v>
      </c>
      <c r="O158" s="5" t="s">
        <v>45</v>
      </c>
      <c r="P158" s="5" t="s">
        <v>45</v>
      </c>
      <c r="Q158" s="5" t="s">
        <v>2298</v>
      </c>
      <c r="R158" s="5" t="s">
        <v>2299</v>
      </c>
      <c r="S158" s="7">
        <v>38</v>
      </c>
      <c r="T158" s="5" t="s">
        <v>634</v>
      </c>
      <c r="U158" s="5"/>
      <c r="V158" s="5"/>
      <c r="W158" s="5"/>
      <c r="X158" s="5" t="s">
        <v>2300</v>
      </c>
      <c r="Y158" s="5"/>
      <c r="Z158" s="5" t="s">
        <v>2301</v>
      </c>
      <c r="AA158" s="5" t="s">
        <v>2302</v>
      </c>
      <c r="AB158" s="5"/>
      <c r="AC158" s="5" t="s">
        <v>50</v>
      </c>
      <c r="AD158" s="5" t="s">
        <v>2303</v>
      </c>
      <c r="AE158" s="5">
        <v>2</v>
      </c>
      <c r="AF158" s="5" t="s">
        <v>2304</v>
      </c>
      <c r="AG158" s="5">
        <v>1930</v>
      </c>
      <c r="AH158" s="8" t="s">
        <v>3233</v>
      </c>
      <c r="AI158" s="5">
        <v>31735066237458</v>
      </c>
    </row>
    <row r="159" spans="1:35" ht="38.25" x14ac:dyDescent="0.4">
      <c r="A159" s="4">
        <v>3</v>
      </c>
      <c r="B159" s="5">
        <v>142</v>
      </c>
      <c r="C159" s="5" t="s">
        <v>35</v>
      </c>
      <c r="D159" s="5" t="s">
        <v>2305</v>
      </c>
      <c r="E159" s="5" t="s">
        <v>1900</v>
      </c>
      <c r="F159" s="5" t="s">
        <v>1560</v>
      </c>
      <c r="G159" s="5" t="s">
        <v>2306</v>
      </c>
      <c r="H159" s="4">
        <v>1931</v>
      </c>
      <c r="I159" s="5" t="s">
        <v>2307</v>
      </c>
      <c r="J159" s="5" t="s">
        <v>41</v>
      </c>
      <c r="K159" s="5" t="s">
        <v>2308</v>
      </c>
      <c r="L159" s="5" t="s">
        <v>2309</v>
      </c>
      <c r="M159" s="5" t="s">
        <v>61</v>
      </c>
      <c r="N159" s="5" t="s">
        <v>2310</v>
      </c>
      <c r="O159" s="5" t="s">
        <v>63</v>
      </c>
      <c r="P159" s="5" t="s">
        <v>63</v>
      </c>
      <c r="Q159" s="5" t="s">
        <v>2311</v>
      </c>
      <c r="R159" s="5" t="s">
        <v>2312</v>
      </c>
      <c r="S159" s="7"/>
      <c r="T159" s="5"/>
      <c r="U159" s="5"/>
      <c r="V159" s="5" t="s">
        <v>2313</v>
      </c>
      <c r="W159" s="5" t="s">
        <v>2314</v>
      </c>
      <c r="X159" s="5" t="s">
        <v>71</v>
      </c>
      <c r="Y159" s="5" t="s">
        <v>2315</v>
      </c>
      <c r="Z159" s="5"/>
      <c r="AA159" s="5" t="s">
        <v>2316</v>
      </c>
      <c r="AB159" s="5"/>
      <c r="AC159" s="5" t="s">
        <v>50</v>
      </c>
      <c r="AD159" s="5" t="s">
        <v>2317</v>
      </c>
      <c r="AE159" s="5">
        <v>1</v>
      </c>
      <c r="AF159" s="5" t="s">
        <v>2318</v>
      </c>
      <c r="AG159" s="5">
        <v>1931</v>
      </c>
      <c r="AH159" s="8" t="s">
        <v>3233</v>
      </c>
      <c r="AI159" s="5">
        <v>31735064607462</v>
      </c>
    </row>
    <row r="160" spans="1:35" ht="38.25" x14ac:dyDescent="0.4">
      <c r="A160" s="4">
        <v>3</v>
      </c>
      <c r="B160" s="5">
        <v>143</v>
      </c>
      <c r="C160" s="5" t="s">
        <v>1197</v>
      </c>
      <c r="D160" s="5" t="s">
        <v>1197</v>
      </c>
      <c r="E160" s="5" t="s">
        <v>1900</v>
      </c>
      <c r="F160" s="5" t="s">
        <v>1560</v>
      </c>
      <c r="G160" s="5" t="s">
        <v>2319</v>
      </c>
      <c r="H160" s="4">
        <v>1931</v>
      </c>
      <c r="I160" s="5" t="s">
        <v>2320</v>
      </c>
      <c r="J160" s="5" t="s">
        <v>429</v>
      </c>
      <c r="K160" s="5" t="s">
        <v>2321</v>
      </c>
      <c r="L160" s="5" t="s">
        <v>2199</v>
      </c>
      <c r="M160" s="5" t="s">
        <v>1378</v>
      </c>
      <c r="N160" s="5" t="s">
        <v>61</v>
      </c>
      <c r="O160" s="5" t="s">
        <v>45</v>
      </c>
      <c r="P160" s="5" t="s">
        <v>45</v>
      </c>
      <c r="Q160" s="5" t="s">
        <v>2322</v>
      </c>
      <c r="R160" s="5" t="s">
        <v>2323</v>
      </c>
      <c r="S160" s="7"/>
      <c r="T160" s="5"/>
      <c r="U160" s="5"/>
      <c r="V160" s="5"/>
      <c r="W160" s="5"/>
      <c r="X160" s="5" t="s">
        <v>2324</v>
      </c>
      <c r="Y160" s="5"/>
      <c r="Z160" s="5"/>
      <c r="AA160" s="5" t="s">
        <v>2325</v>
      </c>
      <c r="AB160" s="5" t="s">
        <v>2326</v>
      </c>
      <c r="AC160" s="5" t="s">
        <v>313</v>
      </c>
      <c r="AD160" s="5" t="s">
        <v>2327</v>
      </c>
      <c r="AE160" s="5">
        <v>1</v>
      </c>
      <c r="AF160" s="5" t="s">
        <v>2205</v>
      </c>
      <c r="AG160" s="5">
        <v>1931</v>
      </c>
      <c r="AH160" s="8" t="s">
        <v>3233</v>
      </c>
      <c r="AI160" s="5">
        <v>31735066266721</v>
      </c>
    </row>
    <row r="161" spans="1:35" ht="51" x14ac:dyDescent="0.4">
      <c r="A161" s="4">
        <v>3</v>
      </c>
      <c r="B161" s="5">
        <v>144</v>
      </c>
      <c r="C161" s="5" t="s">
        <v>35</v>
      </c>
      <c r="D161" s="5" t="s">
        <v>2328</v>
      </c>
      <c r="E161" s="5" t="s">
        <v>1900</v>
      </c>
      <c r="F161" s="5" t="s">
        <v>1560</v>
      </c>
      <c r="G161" s="5" t="s">
        <v>2329</v>
      </c>
      <c r="H161" s="4">
        <v>1932</v>
      </c>
      <c r="I161" s="5" t="s">
        <v>2330</v>
      </c>
      <c r="J161" s="5" t="s">
        <v>429</v>
      </c>
      <c r="K161" s="5" t="s">
        <v>2331</v>
      </c>
      <c r="L161" s="5" t="s">
        <v>2332</v>
      </c>
      <c r="M161" s="5" t="s">
        <v>735</v>
      </c>
      <c r="N161" s="5" t="s">
        <v>2333</v>
      </c>
      <c r="O161" s="5" t="s">
        <v>83</v>
      </c>
      <c r="P161" s="5" t="s">
        <v>83</v>
      </c>
      <c r="Q161" s="5" t="s">
        <v>2334</v>
      </c>
      <c r="R161" s="5" t="s">
        <v>2335</v>
      </c>
      <c r="S161" s="7"/>
      <c r="T161" s="5"/>
      <c r="U161" s="5"/>
      <c r="V161" s="5"/>
      <c r="W161" s="5"/>
      <c r="X161" s="5" t="s">
        <v>2336</v>
      </c>
      <c r="Y161" s="5"/>
      <c r="Z161" s="5"/>
      <c r="AA161" s="5" t="s">
        <v>2337</v>
      </c>
      <c r="AB161" s="5"/>
      <c r="AC161" s="5" t="s">
        <v>50</v>
      </c>
      <c r="AD161" s="5" t="s">
        <v>2338</v>
      </c>
      <c r="AE161" s="5">
        <v>1</v>
      </c>
      <c r="AF161" s="5" t="s">
        <v>2339</v>
      </c>
      <c r="AG161" s="5">
        <v>1932</v>
      </c>
      <c r="AH161" s="8" t="s">
        <v>3233</v>
      </c>
      <c r="AI161" s="5">
        <v>31735066266358</v>
      </c>
    </row>
    <row r="162" spans="1:35" ht="76.5" x14ac:dyDescent="0.4">
      <c r="A162" s="4">
        <v>3</v>
      </c>
      <c r="B162" s="5">
        <v>145</v>
      </c>
      <c r="C162" s="5" t="s">
        <v>53</v>
      </c>
      <c r="D162" s="5" t="s">
        <v>541</v>
      </c>
      <c r="E162" s="5" t="s">
        <v>1900</v>
      </c>
      <c r="F162" s="5" t="s">
        <v>1560</v>
      </c>
      <c r="G162" s="5" t="s">
        <v>2340</v>
      </c>
      <c r="H162" s="4">
        <v>1932</v>
      </c>
      <c r="I162" s="5" t="s">
        <v>2341</v>
      </c>
      <c r="J162" s="5" t="s">
        <v>41</v>
      </c>
      <c r="K162" s="5" t="s">
        <v>1376</v>
      </c>
      <c r="L162" s="5" t="s">
        <v>2342</v>
      </c>
      <c r="M162" s="5" t="s">
        <v>81</v>
      </c>
      <c r="N162" s="5" t="s">
        <v>2343</v>
      </c>
      <c r="O162" s="5" t="s">
        <v>45</v>
      </c>
      <c r="P162" s="5" t="s">
        <v>45</v>
      </c>
      <c r="Q162" s="5" t="s">
        <v>2344</v>
      </c>
      <c r="R162" s="5" t="s">
        <v>2345</v>
      </c>
      <c r="S162" s="7">
        <v>44</v>
      </c>
      <c r="T162" s="5" t="s">
        <v>634</v>
      </c>
      <c r="U162" s="5" t="s">
        <v>2346</v>
      </c>
      <c r="V162" s="5" t="s">
        <v>2347</v>
      </c>
      <c r="W162" s="5" t="s">
        <v>2348</v>
      </c>
      <c r="X162" s="5" t="s">
        <v>2349</v>
      </c>
      <c r="Y162" s="5" t="s">
        <v>2350</v>
      </c>
      <c r="Z162" s="5" t="s">
        <v>2351</v>
      </c>
      <c r="AA162" s="5" t="s">
        <v>2352</v>
      </c>
      <c r="AB162" s="5"/>
      <c r="AC162" s="5" t="s">
        <v>50</v>
      </c>
      <c r="AD162" s="5" t="s">
        <v>2353</v>
      </c>
      <c r="AE162" s="5">
        <v>2</v>
      </c>
      <c r="AF162" s="5" t="s">
        <v>2354</v>
      </c>
      <c r="AG162" s="5">
        <v>1932</v>
      </c>
      <c r="AH162" s="8" t="s">
        <v>3233</v>
      </c>
      <c r="AI162" s="5">
        <v>31735064607595</v>
      </c>
    </row>
    <row r="163" spans="1:35" ht="63.75" x14ac:dyDescent="0.4">
      <c r="A163" s="4">
        <v>3</v>
      </c>
      <c r="B163" s="5">
        <v>146</v>
      </c>
      <c r="C163" s="5" t="s">
        <v>35</v>
      </c>
      <c r="D163" s="5" t="s">
        <v>2355</v>
      </c>
      <c r="E163" s="5" t="s">
        <v>1900</v>
      </c>
      <c r="F163" s="5" t="s">
        <v>1560</v>
      </c>
      <c r="G163" s="5" t="s">
        <v>2356</v>
      </c>
      <c r="H163" s="4">
        <v>1932</v>
      </c>
      <c r="I163" s="5" t="s">
        <v>2357</v>
      </c>
      <c r="J163" s="5" t="s">
        <v>41</v>
      </c>
      <c r="K163" s="5" t="s">
        <v>2358</v>
      </c>
      <c r="L163" s="5" t="s">
        <v>2359</v>
      </c>
      <c r="M163" s="5" t="s">
        <v>61</v>
      </c>
      <c r="N163" s="5" t="s">
        <v>2360</v>
      </c>
      <c r="O163" s="5" t="s">
        <v>530</v>
      </c>
      <c r="P163" s="5" t="s">
        <v>530</v>
      </c>
      <c r="Q163" s="5" t="s">
        <v>2361</v>
      </c>
      <c r="R163" s="5" t="s">
        <v>2362</v>
      </c>
      <c r="S163" s="7"/>
      <c r="T163" s="5"/>
      <c r="U163" s="5"/>
      <c r="V163" s="5" t="s">
        <v>2363</v>
      </c>
      <c r="W163" s="5" t="s">
        <v>2364</v>
      </c>
      <c r="X163" s="5" t="s">
        <v>71</v>
      </c>
      <c r="Y163" s="5"/>
      <c r="Z163" s="5"/>
      <c r="AA163" s="5" t="s">
        <v>2365</v>
      </c>
      <c r="AB163" s="5"/>
      <c r="AC163" s="5" t="s">
        <v>50</v>
      </c>
      <c r="AD163" s="5" t="s">
        <v>2366</v>
      </c>
      <c r="AE163" s="5">
        <v>1</v>
      </c>
      <c r="AF163" s="5" t="s">
        <v>2367</v>
      </c>
      <c r="AG163" s="5">
        <v>1932</v>
      </c>
      <c r="AH163" s="8" t="s">
        <v>3233</v>
      </c>
      <c r="AI163" s="5">
        <v>31735064607710</v>
      </c>
    </row>
    <row r="164" spans="1:35" ht="38.25" x14ac:dyDescent="0.4">
      <c r="A164" s="4">
        <v>3</v>
      </c>
      <c r="B164" s="5">
        <v>147</v>
      </c>
      <c r="C164" s="5" t="s">
        <v>150</v>
      </c>
      <c r="D164" s="5" t="s">
        <v>2368</v>
      </c>
      <c r="E164" s="5" t="s">
        <v>1900</v>
      </c>
      <c r="F164" s="5" t="s">
        <v>1560</v>
      </c>
      <c r="G164" s="5" t="s">
        <v>2369</v>
      </c>
      <c r="H164" s="4">
        <v>1932</v>
      </c>
      <c r="I164" s="5" t="s">
        <v>2370</v>
      </c>
      <c r="J164" s="5" t="s">
        <v>41</v>
      </c>
      <c r="K164" s="5" t="s">
        <v>2371</v>
      </c>
      <c r="L164" s="5" t="s">
        <v>2372</v>
      </c>
      <c r="M164" s="5" t="s">
        <v>994</v>
      </c>
      <c r="N164" s="5" t="s">
        <v>2373</v>
      </c>
      <c r="O164" s="5" t="s">
        <v>933</v>
      </c>
      <c r="P164" s="5" t="s">
        <v>933</v>
      </c>
      <c r="Q164" s="5" t="s">
        <v>2374</v>
      </c>
      <c r="R164" s="5" t="s">
        <v>2375</v>
      </c>
      <c r="S164" s="7">
        <v>170</v>
      </c>
      <c r="T164" s="5" t="s">
        <v>634</v>
      </c>
      <c r="U164" s="5" t="s">
        <v>2376</v>
      </c>
      <c r="V164" s="5" t="s">
        <v>2377</v>
      </c>
      <c r="W164" s="5" t="s">
        <v>2378</v>
      </c>
      <c r="X164" s="5" t="s">
        <v>71</v>
      </c>
      <c r="Y164" s="5" t="s">
        <v>2379</v>
      </c>
      <c r="Z164" s="5"/>
      <c r="AA164" s="5" t="s">
        <v>2380</v>
      </c>
      <c r="AB164" s="5" t="s">
        <v>2381</v>
      </c>
      <c r="AC164" s="5" t="s">
        <v>50</v>
      </c>
      <c r="AD164" s="5" t="s">
        <v>2382</v>
      </c>
      <c r="AE164" s="5">
        <v>1</v>
      </c>
      <c r="AF164" s="5" t="s">
        <v>2383</v>
      </c>
      <c r="AG164" s="5">
        <v>1932</v>
      </c>
      <c r="AH164" s="8" t="s">
        <v>3233</v>
      </c>
      <c r="AI164" s="5">
        <v>31735066266655</v>
      </c>
    </row>
    <row r="165" spans="1:35" ht="102" x14ac:dyDescent="0.4">
      <c r="A165" s="4">
        <v>3</v>
      </c>
      <c r="B165" s="5" t="s">
        <v>2384</v>
      </c>
      <c r="C165" s="5" t="s">
        <v>53</v>
      </c>
      <c r="D165" s="5" t="s">
        <v>541</v>
      </c>
      <c r="E165" s="5" t="s">
        <v>1900</v>
      </c>
      <c r="F165" s="5" t="s">
        <v>1560</v>
      </c>
      <c r="G165" s="5" t="s">
        <v>2385</v>
      </c>
      <c r="H165" s="4">
        <v>1932</v>
      </c>
      <c r="I165" s="5" t="s">
        <v>2386</v>
      </c>
      <c r="J165" s="5" t="s">
        <v>41</v>
      </c>
      <c r="K165" s="5" t="s">
        <v>2387</v>
      </c>
      <c r="L165" s="5" t="s">
        <v>2388</v>
      </c>
      <c r="M165" s="5" t="s">
        <v>735</v>
      </c>
      <c r="N165" s="5" t="s">
        <v>2389</v>
      </c>
      <c r="O165" s="5" t="s">
        <v>45</v>
      </c>
      <c r="P165" s="5" t="s">
        <v>45</v>
      </c>
      <c r="Q165" s="5" t="s">
        <v>2390</v>
      </c>
      <c r="R165" s="5" t="s">
        <v>2391</v>
      </c>
      <c r="S165" s="7">
        <v>30</v>
      </c>
      <c r="T165" s="5" t="s">
        <v>634</v>
      </c>
      <c r="U165" s="5"/>
      <c r="V165" s="5" t="s">
        <v>2392</v>
      </c>
      <c r="W165" s="5" t="s">
        <v>2393</v>
      </c>
      <c r="X165" s="5" t="s">
        <v>2394</v>
      </c>
      <c r="Y165" s="5" t="s">
        <v>2395</v>
      </c>
      <c r="Z165" s="5" t="s">
        <v>2396</v>
      </c>
      <c r="AA165" s="5" t="s">
        <v>2397</v>
      </c>
      <c r="AB165" s="5"/>
      <c r="AC165" s="5" t="s">
        <v>164</v>
      </c>
      <c r="AD165" s="5" t="s">
        <v>2398</v>
      </c>
      <c r="AE165" s="5">
        <v>2</v>
      </c>
      <c r="AF165" s="5" t="s">
        <v>2399</v>
      </c>
      <c r="AG165" s="5" t="s">
        <v>2400</v>
      </c>
      <c r="AH165" s="8" t="s">
        <v>3233</v>
      </c>
      <c r="AI165" s="5">
        <v>31735068223449</v>
      </c>
    </row>
    <row r="166" spans="1:35" ht="38.25" x14ac:dyDescent="0.4">
      <c r="A166" s="4">
        <v>3</v>
      </c>
      <c r="B166" s="5">
        <v>148</v>
      </c>
      <c r="C166" s="5" t="s">
        <v>1197</v>
      </c>
      <c r="D166" s="5" t="s">
        <v>1197</v>
      </c>
      <c r="E166" s="5" t="s">
        <v>1900</v>
      </c>
      <c r="F166" s="5" t="s">
        <v>1560</v>
      </c>
      <c r="G166" s="5" t="s">
        <v>2401</v>
      </c>
      <c r="H166" s="4">
        <v>1933</v>
      </c>
      <c r="I166" s="5" t="s">
        <v>2402</v>
      </c>
      <c r="J166" s="5" t="s">
        <v>429</v>
      </c>
      <c r="K166" s="5" t="s">
        <v>2403</v>
      </c>
      <c r="L166" s="5" t="s">
        <v>2404</v>
      </c>
      <c r="M166" s="5" t="s">
        <v>171</v>
      </c>
      <c r="N166" s="5" t="s">
        <v>2405</v>
      </c>
      <c r="O166" s="5" t="s">
        <v>45</v>
      </c>
      <c r="P166" s="5" t="s">
        <v>45</v>
      </c>
      <c r="Q166" s="5" t="s">
        <v>2406</v>
      </c>
      <c r="R166" s="5" t="s">
        <v>2407</v>
      </c>
      <c r="S166" s="7"/>
      <c r="T166" s="5"/>
      <c r="U166" s="5"/>
      <c r="V166" s="5"/>
      <c r="W166" s="5" t="s">
        <v>2408</v>
      </c>
      <c r="X166" s="5" t="s">
        <v>2409</v>
      </c>
      <c r="Y166" s="5"/>
      <c r="Z166" s="5"/>
      <c r="AA166" s="5" t="s">
        <v>2410</v>
      </c>
      <c r="AB166" s="5" t="s">
        <v>2411</v>
      </c>
      <c r="AC166" s="5" t="s">
        <v>50</v>
      </c>
      <c r="AD166" s="5" t="s">
        <v>2412</v>
      </c>
      <c r="AE166" s="5">
        <v>1</v>
      </c>
      <c r="AF166" s="5" t="s">
        <v>2413</v>
      </c>
      <c r="AG166" s="5">
        <v>1933</v>
      </c>
      <c r="AH166" s="8" t="s">
        <v>3233</v>
      </c>
      <c r="AI166" s="5">
        <v>31735066237516</v>
      </c>
    </row>
    <row r="167" spans="1:35" ht="25.5" x14ac:dyDescent="0.4">
      <c r="A167" s="4">
        <v>3</v>
      </c>
      <c r="B167" s="5">
        <v>149</v>
      </c>
      <c r="C167" s="5" t="s">
        <v>1197</v>
      </c>
      <c r="D167" s="5" t="s">
        <v>1197</v>
      </c>
      <c r="E167" s="5" t="s">
        <v>1900</v>
      </c>
      <c r="F167" s="5" t="s">
        <v>1560</v>
      </c>
      <c r="G167" s="5" t="s">
        <v>2414</v>
      </c>
      <c r="H167" s="4">
        <v>1933</v>
      </c>
      <c r="I167" s="5" t="s">
        <v>2402</v>
      </c>
      <c r="J167" s="5" t="s">
        <v>429</v>
      </c>
      <c r="K167" s="5" t="s">
        <v>2415</v>
      </c>
      <c r="L167" s="5" t="s">
        <v>2416</v>
      </c>
      <c r="M167" s="5" t="s">
        <v>171</v>
      </c>
      <c r="N167" s="5" t="s">
        <v>2417</v>
      </c>
      <c r="O167" s="5" t="s">
        <v>45</v>
      </c>
      <c r="P167" s="5" t="s">
        <v>45</v>
      </c>
      <c r="Q167" s="5" t="s">
        <v>2418</v>
      </c>
      <c r="R167" s="5" t="s">
        <v>2419</v>
      </c>
      <c r="S167" s="7"/>
      <c r="T167" s="5"/>
      <c r="U167" s="5"/>
      <c r="V167" s="5"/>
      <c r="W167" s="5" t="s">
        <v>2420</v>
      </c>
      <c r="X167" s="5" t="s">
        <v>2421</v>
      </c>
      <c r="Y167" s="5"/>
      <c r="Z167" s="5"/>
      <c r="AA167" s="5" t="s">
        <v>2422</v>
      </c>
      <c r="AB167" s="5"/>
      <c r="AC167" s="5" t="s">
        <v>50</v>
      </c>
      <c r="AD167" s="5" t="s">
        <v>2423</v>
      </c>
      <c r="AE167" s="5">
        <v>1</v>
      </c>
      <c r="AF167" s="5" t="s">
        <v>2424</v>
      </c>
      <c r="AG167" s="5">
        <v>1933</v>
      </c>
      <c r="AH167" s="8" t="s">
        <v>3233</v>
      </c>
      <c r="AI167" s="5">
        <v>31735066237524</v>
      </c>
    </row>
    <row r="168" spans="1:35" ht="76.5" x14ac:dyDescent="0.4">
      <c r="A168" s="4">
        <v>3</v>
      </c>
      <c r="B168" s="5">
        <v>150</v>
      </c>
      <c r="C168" s="5" t="s">
        <v>53</v>
      </c>
      <c r="D168" s="5" t="s">
        <v>541</v>
      </c>
      <c r="E168" s="5" t="s">
        <v>1900</v>
      </c>
      <c r="F168" s="5" t="s">
        <v>1560</v>
      </c>
      <c r="G168" s="5" t="s">
        <v>2425</v>
      </c>
      <c r="H168" s="4">
        <v>1934</v>
      </c>
      <c r="I168" s="5" t="s">
        <v>2426</v>
      </c>
      <c r="J168" s="5" t="s">
        <v>41</v>
      </c>
      <c r="K168" s="5" t="s">
        <v>2427</v>
      </c>
      <c r="L168" s="5" t="s">
        <v>2428</v>
      </c>
      <c r="M168" s="5" t="s">
        <v>735</v>
      </c>
      <c r="N168" s="5" t="s">
        <v>2429</v>
      </c>
      <c r="O168" s="5" t="s">
        <v>45</v>
      </c>
      <c r="P168" s="5" t="s">
        <v>45</v>
      </c>
      <c r="Q168" s="5" t="s">
        <v>2430</v>
      </c>
      <c r="R168" s="5" t="s">
        <v>2431</v>
      </c>
      <c r="S168" s="7">
        <v>200</v>
      </c>
      <c r="T168" s="5" t="s">
        <v>634</v>
      </c>
      <c r="U168" s="5" t="s">
        <v>2432</v>
      </c>
      <c r="V168" s="5" t="s">
        <v>2433</v>
      </c>
      <c r="W168" s="5" t="s">
        <v>2434</v>
      </c>
      <c r="X168" s="5" t="s">
        <v>2435</v>
      </c>
      <c r="Y168" s="5" t="s">
        <v>2436</v>
      </c>
      <c r="Z168" s="5" t="s">
        <v>2437</v>
      </c>
      <c r="AA168" s="5" t="s">
        <v>2438</v>
      </c>
      <c r="AB168" s="5"/>
      <c r="AC168" s="5" t="s">
        <v>164</v>
      </c>
      <c r="AD168" s="5" t="s">
        <v>2439</v>
      </c>
      <c r="AE168" s="5">
        <v>2</v>
      </c>
      <c r="AF168" s="5" t="s">
        <v>2440</v>
      </c>
      <c r="AG168" s="5">
        <v>1934</v>
      </c>
      <c r="AH168" s="8" t="s">
        <v>3233</v>
      </c>
      <c r="AI168" s="5">
        <v>31735066267521</v>
      </c>
    </row>
    <row r="169" spans="1:35" ht="114.75" x14ac:dyDescent="0.4">
      <c r="A169" s="4">
        <v>3</v>
      </c>
      <c r="B169" s="5">
        <v>151</v>
      </c>
      <c r="C169" s="5" t="s">
        <v>95</v>
      </c>
      <c r="D169" s="5" t="s">
        <v>2441</v>
      </c>
      <c r="E169" s="5" t="s">
        <v>1900</v>
      </c>
      <c r="F169" s="5" t="s">
        <v>1560</v>
      </c>
      <c r="G169" s="5" t="s">
        <v>2442</v>
      </c>
      <c r="H169" s="4">
        <v>1934</v>
      </c>
      <c r="I169" s="5" t="s">
        <v>2443</v>
      </c>
      <c r="J169" s="5" t="s">
        <v>41</v>
      </c>
      <c r="K169" s="5" t="s">
        <v>2444</v>
      </c>
      <c r="L169" s="5" t="s">
        <v>2445</v>
      </c>
      <c r="M169" s="5" t="s">
        <v>735</v>
      </c>
      <c r="N169" s="5" t="s">
        <v>2446</v>
      </c>
      <c r="O169" s="5" t="s">
        <v>83</v>
      </c>
      <c r="P169" s="5" t="s">
        <v>83</v>
      </c>
      <c r="Q169" s="5" t="s">
        <v>2447</v>
      </c>
      <c r="R169" s="5" t="s">
        <v>2448</v>
      </c>
      <c r="S169" s="7">
        <v>240</v>
      </c>
      <c r="T169" s="5" t="s">
        <v>634</v>
      </c>
      <c r="U169" s="5" t="s">
        <v>2449</v>
      </c>
      <c r="V169" s="5" t="s">
        <v>2450</v>
      </c>
      <c r="W169" s="5" t="s">
        <v>2451</v>
      </c>
      <c r="X169" s="5" t="s">
        <v>2452</v>
      </c>
      <c r="Y169" s="5" t="s">
        <v>2453</v>
      </c>
      <c r="Z169" s="5" t="s">
        <v>2454</v>
      </c>
      <c r="AA169" s="5" t="s">
        <v>2455</v>
      </c>
      <c r="AB169" s="5" t="s">
        <v>2456</v>
      </c>
      <c r="AC169" s="5" t="s">
        <v>50</v>
      </c>
      <c r="AD169" s="5" t="s">
        <v>2457</v>
      </c>
      <c r="AE169" s="5">
        <v>2</v>
      </c>
      <c r="AF169" s="5" t="s">
        <v>2458</v>
      </c>
      <c r="AG169" s="5" t="s">
        <v>2459</v>
      </c>
      <c r="AH169" s="8" t="s">
        <v>3233</v>
      </c>
      <c r="AI169" s="5">
        <v>31735066266564</v>
      </c>
    </row>
    <row r="170" spans="1:35" ht="63.75" x14ac:dyDescent="0.4">
      <c r="A170" s="4">
        <v>3</v>
      </c>
      <c r="B170" s="5">
        <v>152</v>
      </c>
      <c r="C170" s="5" t="s">
        <v>243</v>
      </c>
      <c r="D170" s="5" t="s">
        <v>2460</v>
      </c>
      <c r="E170" s="5" t="s">
        <v>1900</v>
      </c>
      <c r="F170" s="5" t="s">
        <v>1560</v>
      </c>
      <c r="G170" s="5" t="s">
        <v>2461</v>
      </c>
      <c r="H170" s="4">
        <v>1935</v>
      </c>
      <c r="I170" s="5" t="s">
        <v>2462</v>
      </c>
      <c r="J170" s="5" t="s">
        <v>1966</v>
      </c>
      <c r="K170" s="5" t="s">
        <v>2463</v>
      </c>
      <c r="L170" s="5" t="s">
        <v>2464</v>
      </c>
      <c r="M170" s="5" t="s">
        <v>190</v>
      </c>
      <c r="N170" s="5" t="s">
        <v>2465</v>
      </c>
      <c r="O170" s="5" t="s">
        <v>45</v>
      </c>
      <c r="P170" s="5" t="s">
        <v>45</v>
      </c>
      <c r="Q170" s="5" t="s">
        <v>2466</v>
      </c>
      <c r="R170" s="5"/>
      <c r="S170" s="7"/>
      <c r="T170" s="5"/>
      <c r="U170" s="5"/>
      <c r="V170" s="5" t="s">
        <v>2467</v>
      </c>
      <c r="W170" s="5"/>
      <c r="X170" s="5" t="s">
        <v>2468</v>
      </c>
      <c r="Y170" s="5"/>
      <c r="Z170" s="5"/>
      <c r="AA170" s="5" t="s">
        <v>2469</v>
      </c>
      <c r="AB170" s="5"/>
      <c r="AC170" s="5" t="s">
        <v>50</v>
      </c>
      <c r="AD170" s="5" t="s">
        <v>2470</v>
      </c>
      <c r="AE170" s="5">
        <v>1</v>
      </c>
      <c r="AF170" s="5" t="s">
        <v>2471</v>
      </c>
      <c r="AG170" s="5">
        <v>1935</v>
      </c>
      <c r="AH170" s="8" t="s">
        <v>3233</v>
      </c>
      <c r="AI170" s="5">
        <v>31735066266762</v>
      </c>
    </row>
    <row r="171" spans="1:35" ht="63.75" x14ac:dyDescent="0.4">
      <c r="A171" s="4">
        <v>3</v>
      </c>
      <c r="B171" s="5">
        <v>153</v>
      </c>
      <c r="C171" s="5" t="s">
        <v>95</v>
      </c>
      <c r="D171" s="5" t="s">
        <v>96</v>
      </c>
      <c r="E171" s="5" t="s">
        <v>1900</v>
      </c>
      <c r="F171" s="5" t="s">
        <v>1560</v>
      </c>
      <c r="G171" s="5" t="s">
        <v>2472</v>
      </c>
      <c r="H171" s="4">
        <v>1935</v>
      </c>
      <c r="I171" s="5" t="s">
        <v>2473</v>
      </c>
      <c r="J171" s="5" t="s">
        <v>41</v>
      </c>
      <c r="K171" s="5" t="s">
        <v>2474</v>
      </c>
      <c r="L171" s="5" t="s">
        <v>2475</v>
      </c>
      <c r="M171" s="5" t="s">
        <v>171</v>
      </c>
      <c r="N171" s="5" t="s">
        <v>2476</v>
      </c>
      <c r="O171" s="5" t="s">
        <v>530</v>
      </c>
      <c r="P171" s="5" t="s">
        <v>530</v>
      </c>
      <c r="Q171" s="5" t="s">
        <v>2477</v>
      </c>
      <c r="R171" s="5" t="s">
        <v>2478</v>
      </c>
      <c r="S171" s="7">
        <v>40</v>
      </c>
      <c r="T171" s="5" t="s">
        <v>468</v>
      </c>
      <c r="U171" s="5" t="s">
        <v>2479</v>
      </c>
      <c r="V171" s="5" t="s">
        <v>2480</v>
      </c>
      <c r="W171" s="5" t="s">
        <v>2481</v>
      </c>
      <c r="X171" s="5" t="s">
        <v>2482</v>
      </c>
      <c r="Y171" s="5" t="s">
        <v>2483</v>
      </c>
      <c r="Z171" s="5" t="s">
        <v>2484</v>
      </c>
      <c r="AA171" s="5" t="s">
        <v>2485</v>
      </c>
      <c r="AB171" s="5" t="s">
        <v>2486</v>
      </c>
      <c r="AC171" s="5" t="s">
        <v>164</v>
      </c>
      <c r="AD171" s="5" t="s">
        <v>2487</v>
      </c>
      <c r="AE171" s="5">
        <v>2</v>
      </c>
      <c r="AF171" s="5" t="s">
        <v>2488</v>
      </c>
      <c r="AG171" s="5"/>
      <c r="AH171" s="8" t="s">
        <v>3233</v>
      </c>
      <c r="AI171" s="5">
        <v>31735066237466</v>
      </c>
    </row>
    <row r="172" spans="1:35" ht="51" x14ac:dyDescent="0.4">
      <c r="A172" s="4">
        <v>3</v>
      </c>
      <c r="B172" s="5">
        <v>154</v>
      </c>
      <c r="C172" s="5" t="s">
        <v>243</v>
      </c>
      <c r="D172" s="5" t="s">
        <v>1558</v>
      </c>
      <c r="E172" s="5" t="s">
        <v>1900</v>
      </c>
      <c r="F172" s="5" t="s">
        <v>1560</v>
      </c>
      <c r="G172" s="5" t="s">
        <v>2489</v>
      </c>
      <c r="H172" s="4">
        <v>1935</v>
      </c>
      <c r="I172" s="5" t="s">
        <v>2140</v>
      </c>
      <c r="J172" s="5" t="s">
        <v>41</v>
      </c>
      <c r="K172" s="5" t="s">
        <v>2490</v>
      </c>
      <c r="L172" s="5" t="s">
        <v>2491</v>
      </c>
      <c r="M172" s="5" t="s">
        <v>735</v>
      </c>
      <c r="N172" s="5" t="s">
        <v>2492</v>
      </c>
      <c r="O172" s="5" t="s">
        <v>45</v>
      </c>
      <c r="P172" s="5" t="s">
        <v>45</v>
      </c>
      <c r="Q172" s="5" t="s">
        <v>2493</v>
      </c>
      <c r="R172" s="5" t="s">
        <v>2494</v>
      </c>
      <c r="S172" s="7">
        <v>220</v>
      </c>
      <c r="T172" s="5" t="s">
        <v>634</v>
      </c>
      <c r="U172" s="5" t="s">
        <v>2495</v>
      </c>
      <c r="V172" s="5"/>
      <c r="W172" s="5"/>
      <c r="X172" s="5" t="s">
        <v>2496</v>
      </c>
      <c r="Y172" s="5"/>
      <c r="Z172" s="5"/>
      <c r="AA172" s="5" t="s">
        <v>2497</v>
      </c>
      <c r="AB172" s="5"/>
      <c r="AC172" s="5" t="s">
        <v>50</v>
      </c>
      <c r="AD172" s="5" t="s">
        <v>2498</v>
      </c>
      <c r="AE172" s="5">
        <v>1</v>
      </c>
      <c r="AF172" s="5" t="s">
        <v>2499</v>
      </c>
      <c r="AG172" s="5">
        <v>1935</v>
      </c>
      <c r="AH172" s="8" t="s">
        <v>3233</v>
      </c>
      <c r="AI172" s="5">
        <v>31735066237755</v>
      </c>
    </row>
    <row r="173" spans="1:35" ht="102" x14ac:dyDescent="0.4">
      <c r="A173" s="4">
        <v>3</v>
      </c>
      <c r="B173" s="5">
        <v>155</v>
      </c>
      <c r="C173" s="5" t="s">
        <v>2500</v>
      </c>
      <c r="D173" s="5" t="s">
        <v>2501</v>
      </c>
      <c r="E173" s="5" t="s">
        <v>1900</v>
      </c>
      <c r="F173" s="5" t="s">
        <v>1560</v>
      </c>
      <c r="G173" s="5" t="s">
        <v>2502</v>
      </c>
      <c r="H173" s="4">
        <v>1935</v>
      </c>
      <c r="I173" s="5" t="s">
        <v>2503</v>
      </c>
      <c r="J173" s="5" t="s">
        <v>41</v>
      </c>
      <c r="K173" s="5" t="s">
        <v>2504</v>
      </c>
      <c r="L173" s="5" t="s">
        <v>2505</v>
      </c>
      <c r="M173" s="5" t="s">
        <v>1876</v>
      </c>
      <c r="N173" s="5" t="s">
        <v>2506</v>
      </c>
      <c r="O173" s="5" t="s">
        <v>83</v>
      </c>
      <c r="P173" s="5" t="s">
        <v>2507</v>
      </c>
      <c r="Q173" s="5" t="s">
        <v>2508</v>
      </c>
      <c r="R173" s="5" t="s">
        <v>2509</v>
      </c>
      <c r="S173" s="7">
        <v>60</v>
      </c>
      <c r="T173" s="5" t="s">
        <v>634</v>
      </c>
      <c r="U173" s="5" t="s">
        <v>2510</v>
      </c>
      <c r="V173" s="5" t="s">
        <v>2511</v>
      </c>
      <c r="W173" s="5"/>
      <c r="X173" s="5" t="s">
        <v>2512</v>
      </c>
      <c r="Y173" s="5"/>
      <c r="Z173" s="5" t="s">
        <v>2513</v>
      </c>
      <c r="AA173" s="5" t="s">
        <v>2514</v>
      </c>
      <c r="AB173" s="5"/>
      <c r="AC173" s="5" t="s">
        <v>313</v>
      </c>
      <c r="AD173" s="5" t="s">
        <v>2515</v>
      </c>
      <c r="AE173" s="5">
        <v>2</v>
      </c>
      <c r="AF173" s="5" t="s">
        <v>2516</v>
      </c>
      <c r="AG173" s="5" t="s">
        <v>2517</v>
      </c>
      <c r="AH173" s="8" t="s">
        <v>3233</v>
      </c>
      <c r="AI173" s="5">
        <v>31735066267570</v>
      </c>
    </row>
    <row r="174" spans="1:35" ht="51" x14ac:dyDescent="0.4">
      <c r="A174" s="4">
        <v>3</v>
      </c>
      <c r="B174" s="5" t="s">
        <v>2518</v>
      </c>
      <c r="C174" s="5" t="s">
        <v>53</v>
      </c>
      <c r="D174" s="5" t="s">
        <v>2519</v>
      </c>
      <c r="E174" s="5" t="s">
        <v>1900</v>
      </c>
      <c r="F174" s="5" t="s">
        <v>1560</v>
      </c>
      <c r="G174" s="5" t="s">
        <v>2520</v>
      </c>
      <c r="H174" s="4">
        <v>1935</v>
      </c>
      <c r="I174" s="5" t="s">
        <v>2521</v>
      </c>
      <c r="J174" s="5" t="s">
        <v>1966</v>
      </c>
      <c r="K174" s="5" t="s">
        <v>2522</v>
      </c>
      <c r="L174" s="5" t="s">
        <v>2523</v>
      </c>
      <c r="M174" s="5" t="s">
        <v>81</v>
      </c>
      <c r="N174" s="5" t="s">
        <v>2524</v>
      </c>
      <c r="O174" s="5" t="s">
        <v>45</v>
      </c>
      <c r="P174" s="5" t="s">
        <v>45</v>
      </c>
      <c r="Q174" s="5" t="s">
        <v>2525</v>
      </c>
      <c r="R174" s="5"/>
      <c r="S174" s="7"/>
      <c r="T174" s="5"/>
      <c r="U174" s="5"/>
      <c r="V174" s="5" t="s">
        <v>2526</v>
      </c>
      <c r="W174" s="5" t="s">
        <v>2527</v>
      </c>
      <c r="X174" s="5" t="s">
        <v>2528</v>
      </c>
      <c r="Y174" s="5" t="s">
        <v>2529</v>
      </c>
      <c r="Z174" s="5"/>
      <c r="AA174" s="5" t="s">
        <v>2530</v>
      </c>
      <c r="AB174" s="5"/>
      <c r="AC174" s="5" t="s">
        <v>50</v>
      </c>
      <c r="AD174" s="5" t="s">
        <v>2531</v>
      </c>
      <c r="AE174" s="5">
        <v>1</v>
      </c>
      <c r="AF174" s="5" t="s">
        <v>2532</v>
      </c>
      <c r="AG174" s="5">
        <v>1935</v>
      </c>
      <c r="AH174" s="8" t="s">
        <v>3233</v>
      </c>
      <c r="AI174" s="5">
        <v>31735068223456</v>
      </c>
    </row>
    <row r="175" spans="1:35" ht="38.25" x14ac:dyDescent="0.4">
      <c r="A175" s="4">
        <v>3</v>
      </c>
      <c r="B175" s="5">
        <v>156</v>
      </c>
      <c r="C175" s="5" t="s">
        <v>150</v>
      </c>
      <c r="D175" s="5" t="s">
        <v>2533</v>
      </c>
      <c r="E175" s="5" t="s">
        <v>1900</v>
      </c>
      <c r="F175" s="5" t="s">
        <v>1560</v>
      </c>
      <c r="G175" s="5" t="s">
        <v>2534</v>
      </c>
      <c r="H175" s="4">
        <v>1936</v>
      </c>
      <c r="I175" s="5" t="s">
        <v>2535</v>
      </c>
      <c r="J175" s="5" t="s">
        <v>41</v>
      </c>
      <c r="K175" s="5" t="s">
        <v>2536</v>
      </c>
      <c r="L175" s="5" t="s">
        <v>2537</v>
      </c>
      <c r="M175" s="5" t="s">
        <v>61</v>
      </c>
      <c r="N175" s="5" t="s">
        <v>2538</v>
      </c>
      <c r="O175" s="5" t="s">
        <v>45</v>
      </c>
      <c r="P175" s="5" t="s">
        <v>45</v>
      </c>
      <c r="Q175" s="5" t="s">
        <v>2539</v>
      </c>
      <c r="R175" s="5" t="s">
        <v>2540</v>
      </c>
      <c r="S175" s="7">
        <v>115</v>
      </c>
      <c r="T175" s="5" t="s">
        <v>634</v>
      </c>
      <c r="U175" s="5" t="s">
        <v>2541</v>
      </c>
      <c r="V175" s="5" t="s">
        <v>2542</v>
      </c>
      <c r="W175" s="5" t="s">
        <v>2543</v>
      </c>
      <c r="X175" s="5" t="s">
        <v>2544</v>
      </c>
      <c r="Y175" s="5" t="s">
        <v>2545</v>
      </c>
      <c r="Z175" s="5"/>
      <c r="AA175" s="5" t="s">
        <v>2546</v>
      </c>
      <c r="AB175" s="5"/>
      <c r="AC175" s="5" t="s">
        <v>164</v>
      </c>
      <c r="AD175" s="5" t="s">
        <v>2547</v>
      </c>
      <c r="AE175" s="5">
        <v>1</v>
      </c>
      <c r="AF175" s="5" t="s">
        <v>2548</v>
      </c>
      <c r="AG175" s="5">
        <v>1936</v>
      </c>
      <c r="AH175" s="8" t="s">
        <v>3233</v>
      </c>
      <c r="AI175" s="5">
        <v>31735066266671</v>
      </c>
    </row>
    <row r="176" spans="1:35" ht="38.25" x14ac:dyDescent="0.4">
      <c r="A176" s="4">
        <v>3</v>
      </c>
      <c r="B176" s="5">
        <v>157</v>
      </c>
      <c r="C176" s="5" t="s">
        <v>150</v>
      </c>
      <c r="D176" s="5" t="s">
        <v>2533</v>
      </c>
      <c r="E176" s="5" t="s">
        <v>1900</v>
      </c>
      <c r="F176" s="5" t="s">
        <v>1560</v>
      </c>
      <c r="G176" s="5" t="s">
        <v>2549</v>
      </c>
      <c r="H176" s="4">
        <v>1936</v>
      </c>
      <c r="I176" s="5" t="s">
        <v>2535</v>
      </c>
      <c r="J176" s="5" t="s">
        <v>41</v>
      </c>
      <c r="K176" s="5" t="s">
        <v>2550</v>
      </c>
      <c r="L176" s="5" t="s">
        <v>2537</v>
      </c>
      <c r="M176" s="5" t="s">
        <v>61</v>
      </c>
      <c r="N176" s="5" t="s">
        <v>2551</v>
      </c>
      <c r="O176" s="5" t="s">
        <v>933</v>
      </c>
      <c r="P176" s="5" t="s">
        <v>933</v>
      </c>
      <c r="Q176" s="5" t="s">
        <v>2552</v>
      </c>
      <c r="R176" s="5" t="s">
        <v>2553</v>
      </c>
      <c r="S176" s="7">
        <v>60</v>
      </c>
      <c r="T176" s="5" t="s">
        <v>634</v>
      </c>
      <c r="U176" s="5" t="s">
        <v>2541</v>
      </c>
      <c r="V176" s="5" t="s">
        <v>2554</v>
      </c>
      <c r="W176" s="5" t="s">
        <v>2543</v>
      </c>
      <c r="X176" s="5" t="s">
        <v>71</v>
      </c>
      <c r="Y176" s="5" t="s">
        <v>2555</v>
      </c>
      <c r="Z176" s="5"/>
      <c r="AA176" s="5" t="s">
        <v>2556</v>
      </c>
      <c r="AB176" s="5" t="s">
        <v>2557</v>
      </c>
      <c r="AC176" s="5" t="s">
        <v>164</v>
      </c>
      <c r="AD176" s="5" t="s">
        <v>2487</v>
      </c>
      <c r="AE176" s="5">
        <v>1</v>
      </c>
      <c r="AF176" s="5" t="s">
        <v>2558</v>
      </c>
      <c r="AG176" s="5">
        <v>1936</v>
      </c>
      <c r="AH176" s="8" t="s">
        <v>3233</v>
      </c>
      <c r="AI176" s="5">
        <v>31735066266622</v>
      </c>
    </row>
    <row r="177" spans="1:35" ht="38.25" x14ac:dyDescent="0.4">
      <c r="A177" s="4">
        <v>3</v>
      </c>
      <c r="B177" s="5">
        <v>158</v>
      </c>
      <c r="C177" s="5" t="s">
        <v>150</v>
      </c>
      <c r="D177" s="5" t="s">
        <v>2533</v>
      </c>
      <c r="E177" s="5" t="s">
        <v>1900</v>
      </c>
      <c r="F177" s="5" t="s">
        <v>1560</v>
      </c>
      <c r="G177" s="5" t="s">
        <v>2534</v>
      </c>
      <c r="H177" s="4">
        <v>1936</v>
      </c>
      <c r="I177" s="5" t="s">
        <v>2535</v>
      </c>
      <c r="J177" s="5" t="s">
        <v>41</v>
      </c>
      <c r="K177" s="5" t="s">
        <v>2536</v>
      </c>
      <c r="L177" s="5" t="s">
        <v>2537</v>
      </c>
      <c r="M177" s="5" t="s">
        <v>61</v>
      </c>
      <c r="N177" s="5" t="s">
        <v>2538</v>
      </c>
      <c r="O177" s="5" t="s">
        <v>45</v>
      </c>
      <c r="P177" s="5" t="s">
        <v>45</v>
      </c>
      <c r="Q177" s="5" t="s">
        <v>2559</v>
      </c>
      <c r="R177" s="5" t="s">
        <v>2560</v>
      </c>
      <c r="S177" s="7">
        <v>115</v>
      </c>
      <c r="T177" s="5" t="s">
        <v>2561</v>
      </c>
      <c r="U177" s="5" t="s">
        <v>2541</v>
      </c>
      <c r="V177" s="5" t="s">
        <v>2562</v>
      </c>
      <c r="W177" s="5" t="s">
        <v>2563</v>
      </c>
      <c r="X177" s="5" t="s">
        <v>71</v>
      </c>
      <c r="Y177" s="5" t="s">
        <v>2555</v>
      </c>
      <c r="Z177" s="5"/>
      <c r="AA177" s="5" t="s">
        <v>2564</v>
      </c>
      <c r="AB177" s="5"/>
      <c r="AC177" s="5" t="s">
        <v>164</v>
      </c>
      <c r="AD177" s="5" t="s">
        <v>2487</v>
      </c>
      <c r="AE177" s="5">
        <v>1</v>
      </c>
      <c r="AF177" s="5" t="s">
        <v>2548</v>
      </c>
      <c r="AG177" s="5">
        <v>1936</v>
      </c>
      <c r="AH177" s="8" t="s">
        <v>3233</v>
      </c>
      <c r="AI177" s="5">
        <v>31735066266663</v>
      </c>
    </row>
    <row r="178" spans="1:35" ht="38.25" x14ac:dyDescent="0.4">
      <c r="A178" s="4">
        <v>3</v>
      </c>
      <c r="B178" s="5">
        <v>159</v>
      </c>
      <c r="C178" s="5" t="s">
        <v>150</v>
      </c>
      <c r="D178" s="5" t="s">
        <v>2533</v>
      </c>
      <c r="E178" s="5" t="s">
        <v>1900</v>
      </c>
      <c r="F178" s="5" t="s">
        <v>1560</v>
      </c>
      <c r="G178" s="5" t="s">
        <v>2549</v>
      </c>
      <c r="H178" s="4">
        <v>1936</v>
      </c>
      <c r="I178" s="5" t="s">
        <v>2535</v>
      </c>
      <c r="J178" s="5" t="s">
        <v>41</v>
      </c>
      <c r="K178" s="5" t="s">
        <v>2550</v>
      </c>
      <c r="L178" s="5" t="s">
        <v>2537</v>
      </c>
      <c r="M178" s="5" t="s">
        <v>61</v>
      </c>
      <c r="N178" s="5" t="s">
        <v>2551</v>
      </c>
      <c r="O178" s="5" t="s">
        <v>933</v>
      </c>
      <c r="P178" s="5" t="s">
        <v>933</v>
      </c>
      <c r="Q178" s="5" t="s">
        <v>2565</v>
      </c>
      <c r="R178" s="5" t="s">
        <v>2566</v>
      </c>
      <c r="S178" s="7">
        <v>60</v>
      </c>
      <c r="T178" s="5" t="s">
        <v>2561</v>
      </c>
      <c r="U178" s="5" t="s">
        <v>2541</v>
      </c>
      <c r="V178" s="5" t="s">
        <v>2562</v>
      </c>
      <c r="W178" s="5" t="s">
        <v>2563</v>
      </c>
      <c r="X178" s="5" t="s">
        <v>71</v>
      </c>
      <c r="Y178" s="5" t="s">
        <v>2555</v>
      </c>
      <c r="Z178" s="5"/>
      <c r="AA178" s="5" t="s">
        <v>2567</v>
      </c>
      <c r="AB178" s="5"/>
      <c r="AC178" s="5" t="s">
        <v>164</v>
      </c>
      <c r="AD178" s="5" t="s">
        <v>2487</v>
      </c>
      <c r="AE178" s="5">
        <v>1</v>
      </c>
      <c r="AF178" s="5" t="s">
        <v>2548</v>
      </c>
      <c r="AG178" s="5">
        <v>1936</v>
      </c>
      <c r="AH178" s="8" t="s">
        <v>3233</v>
      </c>
      <c r="AI178" s="5">
        <v>31735066237706</v>
      </c>
    </row>
    <row r="179" spans="1:35" ht="51" x14ac:dyDescent="0.4">
      <c r="A179" s="4">
        <v>3</v>
      </c>
      <c r="B179" s="5">
        <v>160</v>
      </c>
      <c r="C179" s="5" t="s">
        <v>243</v>
      </c>
      <c r="D179" s="5" t="s">
        <v>2568</v>
      </c>
      <c r="E179" s="5" t="s">
        <v>1900</v>
      </c>
      <c r="F179" s="5" t="s">
        <v>1560</v>
      </c>
      <c r="G179" s="5" t="s">
        <v>2569</v>
      </c>
      <c r="H179" s="4">
        <v>1937</v>
      </c>
      <c r="I179" s="5" t="s">
        <v>2570</v>
      </c>
      <c r="J179" s="5" t="s">
        <v>429</v>
      </c>
      <c r="K179" s="5" t="s">
        <v>2571</v>
      </c>
      <c r="L179" s="5" t="s">
        <v>2572</v>
      </c>
      <c r="M179" s="5" t="s">
        <v>1876</v>
      </c>
      <c r="N179" s="5" t="s">
        <v>2573</v>
      </c>
      <c r="O179" s="5" t="s">
        <v>933</v>
      </c>
      <c r="P179" s="5" t="s">
        <v>933</v>
      </c>
      <c r="Q179" s="5" t="s">
        <v>2574</v>
      </c>
      <c r="R179" s="5" t="s">
        <v>2575</v>
      </c>
      <c r="S179" s="7">
        <v>18</v>
      </c>
      <c r="T179" s="5" t="s">
        <v>2561</v>
      </c>
      <c r="U179" s="5" t="s">
        <v>2576</v>
      </c>
      <c r="V179" s="5" t="s">
        <v>2577</v>
      </c>
      <c r="W179" s="5"/>
      <c r="X179" s="5" t="s">
        <v>2578</v>
      </c>
      <c r="Y179" s="5"/>
      <c r="Z179" s="5"/>
      <c r="AA179" s="5" t="s">
        <v>2579</v>
      </c>
      <c r="AB179" s="5"/>
      <c r="AC179" s="5" t="s">
        <v>164</v>
      </c>
      <c r="AD179" s="5" t="s">
        <v>2580</v>
      </c>
      <c r="AE179" s="5">
        <v>1</v>
      </c>
      <c r="AF179" s="5" t="s">
        <v>2581</v>
      </c>
      <c r="AG179" s="5">
        <v>1937</v>
      </c>
      <c r="AH179" s="8" t="s">
        <v>3233</v>
      </c>
      <c r="AI179" s="5">
        <v>31735066237763</v>
      </c>
    </row>
    <row r="180" spans="1:35" ht="127.5" x14ac:dyDescent="0.4">
      <c r="A180" s="4">
        <v>3</v>
      </c>
      <c r="B180" s="5">
        <v>161</v>
      </c>
      <c r="C180" s="5" t="s">
        <v>95</v>
      </c>
      <c r="D180" s="5" t="s">
        <v>2582</v>
      </c>
      <c r="E180" s="5" t="s">
        <v>1900</v>
      </c>
      <c r="F180" s="5" t="s">
        <v>1560</v>
      </c>
      <c r="G180" s="5" t="s">
        <v>2583</v>
      </c>
      <c r="H180" s="4">
        <v>1934</v>
      </c>
      <c r="I180" s="5" t="s">
        <v>2584</v>
      </c>
      <c r="J180" s="5" t="s">
        <v>41</v>
      </c>
      <c r="K180" s="5" t="s">
        <v>2585</v>
      </c>
      <c r="L180" s="5" t="s">
        <v>2586</v>
      </c>
      <c r="M180" s="5" t="s">
        <v>1378</v>
      </c>
      <c r="N180" s="5" t="s">
        <v>2587</v>
      </c>
      <c r="O180" s="5" t="s">
        <v>45</v>
      </c>
      <c r="P180" s="5" t="s">
        <v>45</v>
      </c>
      <c r="Q180" s="5" t="s">
        <v>2588</v>
      </c>
      <c r="R180" s="5" t="s">
        <v>2589</v>
      </c>
      <c r="S180" s="7">
        <v>68600</v>
      </c>
      <c r="T180" s="5" t="s">
        <v>449</v>
      </c>
      <c r="U180" s="5" t="s">
        <v>2590</v>
      </c>
      <c r="V180" s="5" t="s">
        <v>2591</v>
      </c>
      <c r="W180" s="5"/>
      <c r="X180" s="5" t="s">
        <v>2592</v>
      </c>
      <c r="Y180" s="5" t="s">
        <v>2593</v>
      </c>
      <c r="Z180" s="5" t="s">
        <v>2594</v>
      </c>
      <c r="AA180" s="5" t="s">
        <v>2595</v>
      </c>
      <c r="AB180" s="5" t="s">
        <v>2596</v>
      </c>
      <c r="AC180" s="5" t="s">
        <v>50</v>
      </c>
      <c r="AD180" s="5" t="s">
        <v>2597</v>
      </c>
      <c r="AE180" s="5">
        <v>3</v>
      </c>
      <c r="AF180" s="5" t="s">
        <v>2598</v>
      </c>
      <c r="AG180" s="5">
        <v>1939</v>
      </c>
      <c r="AH180" s="8" t="s">
        <v>3233</v>
      </c>
      <c r="AI180" s="5">
        <v>31735066267695</v>
      </c>
    </row>
    <row r="181" spans="1:35" ht="38.25" x14ac:dyDescent="0.4">
      <c r="A181" s="4">
        <v>3</v>
      </c>
      <c r="B181" s="5">
        <v>162</v>
      </c>
      <c r="C181" s="5" t="s">
        <v>53</v>
      </c>
      <c r="D181" s="5" t="s">
        <v>541</v>
      </c>
      <c r="E181" s="5" t="s">
        <v>1900</v>
      </c>
      <c r="F181" s="5" t="s">
        <v>1560</v>
      </c>
      <c r="G181" s="5" t="s">
        <v>2599</v>
      </c>
      <c r="H181" s="4">
        <v>1940</v>
      </c>
      <c r="I181" s="5" t="s">
        <v>2600</v>
      </c>
      <c r="J181" s="5" t="s">
        <v>41</v>
      </c>
      <c r="K181" s="5" t="s">
        <v>2601</v>
      </c>
      <c r="L181" s="5" t="s">
        <v>2602</v>
      </c>
      <c r="M181" s="5" t="s">
        <v>61</v>
      </c>
      <c r="N181" s="5" t="s">
        <v>2603</v>
      </c>
      <c r="O181" s="5" t="s">
        <v>121</v>
      </c>
      <c r="P181" s="5" t="s">
        <v>2604</v>
      </c>
      <c r="Q181" s="5" t="s">
        <v>2605</v>
      </c>
      <c r="R181" s="5" t="s">
        <v>2606</v>
      </c>
      <c r="S181" s="7">
        <v>110</v>
      </c>
      <c r="T181" s="5" t="s">
        <v>2561</v>
      </c>
      <c r="U181" s="5" t="s">
        <v>2607</v>
      </c>
      <c r="V181" s="5" t="s">
        <v>2608</v>
      </c>
      <c r="W181" s="5" t="s">
        <v>2609</v>
      </c>
      <c r="X181" s="5" t="s">
        <v>71</v>
      </c>
      <c r="Y181" s="5" t="s">
        <v>2610</v>
      </c>
      <c r="Z181" s="5"/>
      <c r="AA181" s="5" t="s">
        <v>2611</v>
      </c>
      <c r="AB181" s="5"/>
      <c r="AC181" s="5" t="s">
        <v>50</v>
      </c>
      <c r="AD181" s="5" t="s">
        <v>2612</v>
      </c>
      <c r="AE181" s="5">
        <v>1</v>
      </c>
      <c r="AF181" s="5" t="s">
        <v>2613</v>
      </c>
      <c r="AG181" s="5">
        <v>1940</v>
      </c>
      <c r="AH181" s="8" t="s">
        <v>3233</v>
      </c>
      <c r="AI181" s="5">
        <v>31735064607553</v>
      </c>
    </row>
    <row r="182" spans="1:35" ht="76.5" x14ac:dyDescent="0.4">
      <c r="A182" s="4">
        <v>3</v>
      </c>
      <c r="B182" s="5">
        <v>163</v>
      </c>
      <c r="C182" s="5" t="s">
        <v>53</v>
      </c>
      <c r="D182" s="5" t="s">
        <v>927</v>
      </c>
      <c r="E182" s="5" t="s">
        <v>1900</v>
      </c>
      <c r="F182" s="5" t="s">
        <v>1560</v>
      </c>
      <c r="G182" s="5" t="s">
        <v>2614</v>
      </c>
      <c r="H182" s="4">
        <v>1941</v>
      </c>
      <c r="I182" s="5" t="s">
        <v>2615</v>
      </c>
      <c r="J182" s="5" t="s">
        <v>41</v>
      </c>
      <c r="K182" s="5" t="s">
        <v>2616</v>
      </c>
      <c r="L182" s="5" t="s">
        <v>2617</v>
      </c>
      <c r="M182" s="5" t="s">
        <v>61</v>
      </c>
      <c r="N182" s="5" t="s">
        <v>2618</v>
      </c>
      <c r="O182" s="5" t="s">
        <v>83</v>
      </c>
      <c r="P182" s="5" t="s">
        <v>2619</v>
      </c>
      <c r="Q182" s="5" t="s">
        <v>2620</v>
      </c>
      <c r="R182" s="5" t="s">
        <v>2621</v>
      </c>
      <c r="S182" s="7">
        <v>600</v>
      </c>
      <c r="T182" s="5" t="s">
        <v>2561</v>
      </c>
      <c r="U182" s="5" t="s">
        <v>2622</v>
      </c>
      <c r="V182" s="5"/>
      <c r="W182" s="5" t="s">
        <v>2623</v>
      </c>
      <c r="X182" s="5" t="s">
        <v>2624</v>
      </c>
      <c r="Y182" s="5" t="s">
        <v>2625</v>
      </c>
      <c r="Z182" s="5"/>
      <c r="AA182" s="5" t="s">
        <v>2626</v>
      </c>
      <c r="AB182" s="5"/>
      <c r="AC182" s="5" t="s">
        <v>164</v>
      </c>
      <c r="AD182" s="5" t="s">
        <v>2627</v>
      </c>
      <c r="AE182" s="5">
        <v>1</v>
      </c>
      <c r="AF182" s="5" t="s">
        <v>2628</v>
      </c>
      <c r="AG182" s="5">
        <v>1941</v>
      </c>
      <c r="AH182" s="8" t="s">
        <v>3233</v>
      </c>
      <c r="AI182" s="5">
        <v>31735066266630</v>
      </c>
    </row>
    <row r="183" spans="1:35" ht="76.5" x14ac:dyDescent="0.4">
      <c r="A183" s="4">
        <v>3</v>
      </c>
      <c r="B183" s="5">
        <v>164</v>
      </c>
      <c r="C183" s="5" t="s">
        <v>53</v>
      </c>
      <c r="D183" s="5" t="s">
        <v>541</v>
      </c>
      <c r="E183" s="5" t="s">
        <v>1900</v>
      </c>
      <c r="F183" s="5" t="s">
        <v>1560</v>
      </c>
      <c r="G183" s="5" t="s">
        <v>2629</v>
      </c>
      <c r="H183" s="4">
        <v>1942</v>
      </c>
      <c r="I183" s="5" t="s">
        <v>2630</v>
      </c>
      <c r="J183" s="5" t="s">
        <v>41</v>
      </c>
      <c r="K183" s="5" t="s">
        <v>2631</v>
      </c>
      <c r="L183" s="5" t="s">
        <v>2632</v>
      </c>
      <c r="M183" s="5" t="s">
        <v>81</v>
      </c>
      <c r="N183" s="5" t="s">
        <v>2633</v>
      </c>
      <c r="O183" s="5" t="s">
        <v>530</v>
      </c>
      <c r="P183" s="5" t="s">
        <v>530</v>
      </c>
      <c r="Q183" s="5" t="s">
        <v>2634</v>
      </c>
      <c r="R183" s="5" t="s">
        <v>2635</v>
      </c>
      <c r="S183" s="7">
        <v>250</v>
      </c>
      <c r="T183" s="5" t="s">
        <v>2561</v>
      </c>
      <c r="U183" s="5" t="s">
        <v>2636</v>
      </c>
      <c r="V183" s="5" t="s">
        <v>2637</v>
      </c>
      <c r="W183" s="5" t="s">
        <v>2638</v>
      </c>
      <c r="X183" s="5" t="s">
        <v>2639</v>
      </c>
      <c r="Y183" s="5" t="s">
        <v>2640</v>
      </c>
      <c r="Z183" s="5" t="s">
        <v>2641</v>
      </c>
      <c r="AA183" s="5" t="s">
        <v>2642</v>
      </c>
      <c r="AB183" s="5"/>
      <c r="AC183" s="5" t="s">
        <v>164</v>
      </c>
      <c r="AD183" s="6" t="s">
        <v>2643</v>
      </c>
      <c r="AE183" s="5">
        <v>2</v>
      </c>
      <c r="AF183" s="5" t="s">
        <v>2644</v>
      </c>
      <c r="AG183" s="5" t="s">
        <v>2645</v>
      </c>
      <c r="AH183" s="8" t="s">
        <v>3233</v>
      </c>
      <c r="AI183" s="5">
        <v>31735066237540</v>
      </c>
    </row>
    <row r="184" spans="1:35" ht="38.25" x14ac:dyDescent="0.4">
      <c r="A184" s="4">
        <v>3</v>
      </c>
      <c r="B184" s="5">
        <v>165</v>
      </c>
      <c r="C184" s="5" t="s">
        <v>1197</v>
      </c>
      <c r="D184" s="5" t="s">
        <v>2646</v>
      </c>
      <c r="E184" s="5" t="s">
        <v>1900</v>
      </c>
      <c r="F184" s="5" t="s">
        <v>1560</v>
      </c>
      <c r="G184" s="5" t="s">
        <v>2647</v>
      </c>
      <c r="H184" s="4">
        <v>1943</v>
      </c>
      <c r="I184" s="5" t="s">
        <v>2648</v>
      </c>
      <c r="J184" s="5" t="s">
        <v>41</v>
      </c>
      <c r="K184" s="5" t="s">
        <v>2649</v>
      </c>
      <c r="L184" s="5" t="s">
        <v>2650</v>
      </c>
      <c r="M184" s="5" t="s">
        <v>61</v>
      </c>
      <c r="N184" s="5"/>
      <c r="O184" s="5" t="s">
        <v>433</v>
      </c>
      <c r="P184" s="5" t="s">
        <v>2651</v>
      </c>
      <c r="Q184" s="5" t="s">
        <v>2652</v>
      </c>
      <c r="R184" s="5" t="s">
        <v>2653</v>
      </c>
      <c r="S184" s="7"/>
      <c r="T184" s="5" t="s">
        <v>280</v>
      </c>
      <c r="U184" s="5"/>
      <c r="V184" s="5"/>
      <c r="W184" s="5"/>
      <c r="X184" s="5" t="s">
        <v>2654</v>
      </c>
      <c r="Y184" s="5"/>
      <c r="Z184" s="5"/>
      <c r="AA184" s="5" t="s">
        <v>2655</v>
      </c>
      <c r="AB184" s="5" t="s">
        <v>2656</v>
      </c>
      <c r="AC184" s="5" t="s">
        <v>50</v>
      </c>
      <c r="AD184" s="5" t="s">
        <v>2657</v>
      </c>
      <c r="AE184" s="5">
        <v>1</v>
      </c>
      <c r="AF184" s="5" t="s">
        <v>2658</v>
      </c>
      <c r="AG184" s="5">
        <v>1943</v>
      </c>
      <c r="AH184" s="8" t="s">
        <v>3233</v>
      </c>
      <c r="AI184" s="5">
        <v>31735066237714</v>
      </c>
    </row>
    <row r="185" spans="1:35" ht="102" x14ac:dyDescent="0.4">
      <c r="A185" s="4">
        <v>3</v>
      </c>
      <c r="B185" s="5">
        <v>166</v>
      </c>
      <c r="C185" s="5" t="s">
        <v>95</v>
      </c>
      <c r="D185" s="5" t="s">
        <v>96</v>
      </c>
      <c r="E185" s="5" t="s">
        <v>1900</v>
      </c>
      <c r="F185" s="5" t="s">
        <v>1560</v>
      </c>
      <c r="G185" s="5" t="s">
        <v>2659</v>
      </c>
      <c r="H185" s="4">
        <v>1943</v>
      </c>
      <c r="I185" s="5" t="s">
        <v>2660</v>
      </c>
      <c r="J185" s="5" t="s">
        <v>41</v>
      </c>
      <c r="K185" s="5" t="s">
        <v>2661</v>
      </c>
      <c r="L185" s="5" t="s">
        <v>2662</v>
      </c>
      <c r="M185" s="5" t="s">
        <v>2663</v>
      </c>
      <c r="N185" s="5" t="s">
        <v>2664</v>
      </c>
      <c r="O185" s="5" t="s">
        <v>83</v>
      </c>
      <c r="P185" s="5" t="s">
        <v>83</v>
      </c>
      <c r="Q185" s="5" t="s">
        <v>2665</v>
      </c>
      <c r="R185" s="5" t="s">
        <v>2666</v>
      </c>
      <c r="S185" s="7">
        <v>500</v>
      </c>
      <c r="T185" s="5" t="s">
        <v>2561</v>
      </c>
      <c r="U185" s="5" t="s">
        <v>2667</v>
      </c>
      <c r="V185" s="5" t="s">
        <v>2668</v>
      </c>
      <c r="W185" s="5" t="s">
        <v>2669</v>
      </c>
      <c r="X185" s="5" t="s">
        <v>2670</v>
      </c>
      <c r="Y185" s="5" t="s">
        <v>2671</v>
      </c>
      <c r="Z185" s="5" t="s">
        <v>2672</v>
      </c>
      <c r="AA185" s="5" t="s">
        <v>2673</v>
      </c>
      <c r="AB185" s="5" t="s">
        <v>2674</v>
      </c>
      <c r="AC185" s="5" t="s">
        <v>50</v>
      </c>
      <c r="AD185" s="5" t="s">
        <v>2675</v>
      </c>
      <c r="AE185" s="5">
        <v>3</v>
      </c>
      <c r="AF185" s="5" t="s">
        <v>2676</v>
      </c>
      <c r="AG185" s="5" t="s">
        <v>2677</v>
      </c>
      <c r="AH185" s="8" t="s">
        <v>3233</v>
      </c>
      <c r="AI185" s="5">
        <v>31735066267554</v>
      </c>
    </row>
    <row r="186" spans="1:35" ht="89.25" x14ac:dyDescent="0.4">
      <c r="A186" s="4">
        <v>3</v>
      </c>
      <c r="B186" s="5">
        <v>167</v>
      </c>
      <c r="C186" s="5" t="s">
        <v>2500</v>
      </c>
      <c r="D186" s="5" t="s">
        <v>2501</v>
      </c>
      <c r="E186" s="5" t="s">
        <v>1900</v>
      </c>
      <c r="F186" s="5" t="s">
        <v>1560</v>
      </c>
      <c r="G186" s="5" t="s">
        <v>2678</v>
      </c>
      <c r="H186" s="4">
        <v>1945</v>
      </c>
      <c r="I186" s="5" t="s">
        <v>2679</v>
      </c>
      <c r="J186" s="5" t="s">
        <v>429</v>
      </c>
      <c r="K186" s="5" t="s">
        <v>2680</v>
      </c>
      <c r="L186" s="5" t="s">
        <v>2681</v>
      </c>
      <c r="M186" s="5" t="s">
        <v>1378</v>
      </c>
      <c r="N186" s="5" t="s">
        <v>2682</v>
      </c>
      <c r="O186" s="5" t="s">
        <v>83</v>
      </c>
      <c r="P186" s="5" t="s">
        <v>1634</v>
      </c>
      <c r="Q186" s="5" t="s">
        <v>2683</v>
      </c>
      <c r="R186" s="5" t="s">
        <v>2684</v>
      </c>
      <c r="S186" s="7"/>
      <c r="T186" s="5"/>
      <c r="U186" s="5"/>
      <c r="V186" s="5"/>
      <c r="W186" s="5"/>
      <c r="X186" s="5" t="s">
        <v>2685</v>
      </c>
      <c r="Y186" s="5"/>
      <c r="Z186" s="5" t="s">
        <v>2686</v>
      </c>
      <c r="AA186" s="5" t="s">
        <v>2687</v>
      </c>
      <c r="AB186" s="5" t="s">
        <v>2688</v>
      </c>
      <c r="AC186" s="5" t="s">
        <v>50</v>
      </c>
      <c r="AD186" s="5" t="s">
        <v>2689</v>
      </c>
      <c r="AE186" s="5">
        <v>3</v>
      </c>
      <c r="AF186" s="5" t="s">
        <v>2690</v>
      </c>
      <c r="AG186" s="5">
        <v>1945</v>
      </c>
      <c r="AH186" s="8" t="s">
        <v>3233</v>
      </c>
      <c r="AI186" s="5">
        <v>31735064607637</v>
      </c>
    </row>
    <row r="187" spans="1:35" ht="63.75" x14ac:dyDescent="0.4">
      <c r="A187" s="4">
        <v>3</v>
      </c>
      <c r="B187" s="5">
        <v>168</v>
      </c>
      <c r="C187" s="5" t="s">
        <v>1197</v>
      </c>
      <c r="D187" s="5" t="s">
        <v>1197</v>
      </c>
      <c r="E187" s="5" t="s">
        <v>1900</v>
      </c>
      <c r="F187" s="5" t="s">
        <v>1560</v>
      </c>
      <c r="G187" s="5" t="s">
        <v>2691</v>
      </c>
      <c r="H187" s="4">
        <v>1945</v>
      </c>
      <c r="I187" s="5" t="s">
        <v>2692</v>
      </c>
      <c r="J187" s="5" t="s">
        <v>429</v>
      </c>
      <c r="K187" s="5" t="s">
        <v>2693</v>
      </c>
      <c r="L187" s="5" t="s">
        <v>2694</v>
      </c>
      <c r="M187" s="5" t="s">
        <v>2695</v>
      </c>
      <c r="N187" s="5" t="s">
        <v>2696</v>
      </c>
      <c r="O187" s="5" t="s">
        <v>45</v>
      </c>
      <c r="P187" s="5" t="s">
        <v>45</v>
      </c>
      <c r="Q187" s="5" t="s">
        <v>2697</v>
      </c>
      <c r="R187" s="5" t="s">
        <v>2698</v>
      </c>
      <c r="S187" s="7"/>
      <c r="T187" s="5"/>
      <c r="U187" s="5"/>
      <c r="V187" s="5"/>
      <c r="W187" s="5"/>
      <c r="X187" s="5" t="s">
        <v>2699</v>
      </c>
      <c r="Y187" s="5"/>
      <c r="Z187" s="5" t="s">
        <v>2700</v>
      </c>
      <c r="AA187" s="5" t="s">
        <v>2701</v>
      </c>
      <c r="AB187" s="5"/>
      <c r="AC187" s="5" t="s">
        <v>313</v>
      </c>
      <c r="AD187" s="5" t="s">
        <v>2702</v>
      </c>
      <c r="AE187" s="5">
        <v>1</v>
      </c>
      <c r="AF187" s="5" t="s">
        <v>2703</v>
      </c>
      <c r="AG187" s="5">
        <v>1945</v>
      </c>
      <c r="AH187" s="8" t="s">
        <v>3233</v>
      </c>
      <c r="AI187" s="5">
        <v>31735066266481</v>
      </c>
    </row>
    <row r="188" spans="1:35" ht="38.25" x14ac:dyDescent="0.4">
      <c r="A188" s="4">
        <v>3</v>
      </c>
      <c r="B188" s="5">
        <v>169</v>
      </c>
      <c r="C188" s="5" t="s">
        <v>53</v>
      </c>
      <c r="D188" s="5" t="s">
        <v>541</v>
      </c>
      <c r="E188" s="5" t="s">
        <v>1900</v>
      </c>
      <c r="F188" s="5" t="s">
        <v>1560</v>
      </c>
      <c r="G188" s="5" t="s">
        <v>2704</v>
      </c>
      <c r="H188" s="4">
        <v>1945</v>
      </c>
      <c r="I188" s="5" t="s">
        <v>2705</v>
      </c>
      <c r="J188" s="5" t="s">
        <v>41</v>
      </c>
      <c r="K188" s="5" t="s">
        <v>2706</v>
      </c>
      <c r="L188" s="5" t="s">
        <v>2707</v>
      </c>
      <c r="M188" s="5" t="s">
        <v>61</v>
      </c>
      <c r="N188" s="5" t="s">
        <v>2708</v>
      </c>
      <c r="O188" s="5" t="s">
        <v>582</v>
      </c>
      <c r="P188" s="5" t="s">
        <v>582</v>
      </c>
      <c r="Q188" s="5" t="s">
        <v>2709</v>
      </c>
      <c r="R188" s="5" t="s">
        <v>2710</v>
      </c>
      <c r="S188" s="7">
        <v>1600</v>
      </c>
      <c r="T188" s="5" t="s">
        <v>2561</v>
      </c>
      <c r="U188" s="5" t="s">
        <v>2711</v>
      </c>
      <c r="V188" s="5"/>
      <c r="W188" s="5" t="s">
        <v>2712</v>
      </c>
      <c r="X188" s="5" t="s">
        <v>71</v>
      </c>
      <c r="Y188" s="5" t="s">
        <v>2713</v>
      </c>
      <c r="Z188" s="5"/>
      <c r="AA188" s="5" t="s">
        <v>2714</v>
      </c>
      <c r="AB188" s="5"/>
      <c r="AC188" s="5" t="s">
        <v>50</v>
      </c>
      <c r="AD188" s="5" t="s">
        <v>2715</v>
      </c>
      <c r="AE188" s="5">
        <v>1</v>
      </c>
      <c r="AF188" s="5" t="s">
        <v>2716</v>
      </c>
      <c r="AG188" s="5">
        <v>1945</v>
      </c>
      <c r="AH188" s="8" t="s">
        <v>3233</v>
      </c>
      <c r="AI188" s="5">
        <v>31735066266598</v>
      </c>
    </row>
    <row r="189" spans="1:35" ht="63.75" x14ac:dyDescent="0.4">
      <c r="A189" s="4">
        <v>3</v>
      </c>
      <c r="B189" s="5">
        <v>170</v>
      </c>
      <c r="C189" s="5" t="s">
        <v>1197</v>
      </c>
      <c r="D189" s="5" t="s">
        <v>1197</v>
      </c>
      <c r="E189" s="5" t="s">
        <v>1900</v>
      </c>
      <c r="F189" s="5" t="s">
        <v>1560</v>
      </c>
      <c r="G189" s="5" t="s">
        <v>2717</v>
      </c>
      <c r="H189" s="4">
        <v>1946</v>
      </c>
      <c r="I189" s="5" t="s">
        <v>2692</v>
      </c>
      <c r="J189" s="5" t="s">
        <v>429</v>
      </c>
      <c r="K189" s="5" t="s">
        <v>2718</v>
      </c>
      <c r="L189" s="5" t="s">
        <v>2719</v>
      </c>
      <c r="M189" s="5" t="s">
        <v>2695</v>
      </c>
      <c r="N189" s="5" t="s">
        <v>2720</v>
      </c>
      <c r="O189" s="5" t="s">
        <v>45</v>
      </c>
      <c r="P189" s="5" t="s">
        <v>45</v>
      </c>
      <c r="Q189" s="5" t="s">
        <v>2721</v>
      </c>
      <c r="R189" s="5" t="s">
        <v>2722</v>
      </c>
      <c r="S189" s="7"/>
      <c r="T189" s="5"/>
      <c r="U189" s="5"/>
      <c r="V189" s="5"/>
      <c r="W189" s="5"/>
      <c r="X189" s="5" t="s">
        <v>2723</v>
      </c>
      <c r="Y189" s="5"/>
      <c r="Z189" s="5" t="s">
        <v>2724</v>
      </c>
      <c r="AA189" s="5" t="s">
        <v>2725</v>
      </c>
      <c r="AB189" s="5"/>
      <c r="AC189" s="5" t="s">
        <v>50</v>
      </c>
      <c r="AD189" s="5" t="s">
        <v>2726</v>
      </c>
      <c r="AE189" s="5">
        <v>1</v>
      </c>
      <c r="AF189" s="5" t="s">
        <v>2727</v>
      </c>
      <c r="AG189" s="5">
        <v>1946</v>
      </c>
      <c r="AH189" s="8" t="s">
        <v>3233</v>
      </c>
      <c r="AI189" s="5">
        <v>31735066266432</v>
      </c>
    </row>
    <row r="190" spans="1:35" ht="38.25" x14ac:dyDescent="0.4">
      <c r="A190" s="4">
        <v>4</v>
      </c>
      <c r="B190" s="5">
        <v>171</v>
      </c>
      <c r="C190" s="5" t="s">
        <v>1197</v>
      </c>
      <c r="D190" s="5" t="s">
        <v>1197</v>
      </c>
      <c r="E190" s="5" t="s">
        <v>1900</v>
      </c>
      <c r="F190" s="5" t="s">
        <v>1560</v>
      </c>
      <c r="G190" s="5" t="s">
        <v>2728</v>
      </c>
      <c r="H190" s="4">
        <v>1946</v>
      </c>
      <c r="I190" s="5" t="s">
        <v>2692</v>
      </c>
      <c r="J190" s="5" t="s">
        <v>429</v>
      </c>
      <c r="K190" s="5" t="s">
        <v>2729</v>
      </c>
      <c r="L190" s="5" t="s">
        <v>2719</v>
      </c>
      <c r="M190" s="5" t="s">
        <v>2695</v>
      </c>
      <c r="N190" s="5" t="s">
        <v>2720</v>
      </c>
      <c r="O190" s="5" t="s">
        <v>45</v>
      </c>
      <c r="P190" s="5" t="s">
        <v>45</v>
      </c>
      <c r="Q190" s="5" t="s">
        <v>2730</v>
      </c>
      <c r="R190" s="5" t="s">
        <v>2731</v>
      </c>
      <c r="S190" s="7"/>
      <c r="T190" s="5"/>
      <c r="U190" s="5"/>
      <c r="V190" s="5"/>
      <c r="W190" s="5"/>
      <c r="X190" s="5" t="s">
        <v>2732</v>
      </c>
      <c r="Y190" s="5"/>
      <c r="Z190" s="5"/>
      <c r="AA190" s="5" t="s">
        <v>2733</v>
      </c>
      <c r="AB190" s="5"/>
      <c r="AC190" s="5" t="s">
        <v>50</v>
      </c>
      <c r="AD190" s="5" t="s">
        <v>2734</v>
      </c>
      <c r="AE190" s="5">
        <v>1</v>
      </c>
      <c r="AF190" s="5" t="s">
        <v>2727</v>
      </c>
      <c r="AG190" s="5">
        <v>1946</v>
      </c>
      <c r="AH190" s="8" t="s">
        <v>3233</v>
      </c>
      <c r="AI190" s="5">
        <v>31735066266499</v>
      </c>
    </row>
    <row r="191" spans="1:35" ht="38.25" x14ac:dyDescent="0.4">
      <c r="A191" s="4">
        <v>4</v>
      </c>
      <c r="B191" s="5">
        <v>172</v>
      </c>
      <c r="C191" s="5" t="s">
        <v>1197</v>
      </c>
      <c r="D191" s="5" t="s">
        <v>1197</v>
      </c>
      <c r="E191" s="5" t="s">
        <v>1900</v>
      </c>
      <c r="F191" s="5" t="s">
        <v>1560</v>
      </c>
      <c r="G191" s="5" t="s">
        <v>2728</v>
      </c>
      <c r="H191" s="4">
        <v>1946</v>
      </c>
      <c r="I191" s="5" t="s">
        <v>2692</v>
      </c>
      <c r="J191" s="5" t="s">
        <v>429</v>
      </c>
      <c r="K191" s="5" t="s">
        <v>2729</v>
      </c>
      <c r="L191" s="5" t="s">
        <v>2735</v>
      </c>
      <c r="M191" s="5" t="s">
        <v>2695</v>
      </c>
      <c r="N191" s="5" t="s">
        <v>2720</v>
      </c>
      <c r="O191" s="5" t="s">
        <v>45</v>
      </c>
      <c r="P191" s="5" t="s">
        <v>45</v>
      </c>
      <c r="Q191" s="5" t="s">
        <v>2736</v>
      </c>
      <c r="R191" s="5" t="s">
        <v>2737</v>
      </c>
      <c r="S191" s="7"/>
      <c r="T191" s="5"/>
      <c r="U191" s="5"/>
      <c r="V191" s="5"/>
      <c r="W191" s="5"/>
      <c r="X191" s="5" t="s">
        <v>2738</v>
      </c>
      <c r="Y191" s="5"/>
      <c r="Z191" s="5"/>
      <c r="AA191" s="5" t="s">
        <v>2739</v>
      </c>
      <c r="AB191" s="5"/>
      <c r="AC191" s="5" t="s">
        <v>50</v>
      </c>
      <c r="AD191" s="5" t="s">
        <v>2740</v>
      </c>
      <c r="AE191" s="5">
        <v>1</v>
      </c>
      <c r="AF191" s="5" t="s">
        <v>2741</v>
      </c>
      <c r="AG191" s="5">
        <v>1946</v>
      </c>
      <c r="AH191" s="8" t="s">
        <v>3233</v>
      </c>
      <c r="AI191" s="5">
        <v>31735066266507</v>
      </c>
    </row>
    <row r="192" spans="1:35" ht="102" x14ac:dyDescent="0.4">
      <c r="A192" s="4">
        <v>4</v>
      </c>
      <c r="B192" s="5">
        <v>173</v>
      </c>
      <c r="C192" s="5" t="s">
        <v>53</v>
      </c>
      <c r="D192" s="5" t="s">
        <v>541</v>
      </c>
      <c r="E192" s="5" t="s">
        <v>1900</v>
      </c>
      <c r="F192" s="5" t="s">
        <v>1560</v>
      </c>
      <c r="G192" s="5" t="s">
        <v>2742</v>
      </c>
      <c r="H192" s="4">
        <v>1946</v>
      </c>
      <c r="I192" s="5" t="s">
        <v>2743</v>
      </c>
      <c r="J192" s="5" t="s">
        <v>41</v>
      </c>
      <c r="K192" s="5" t="s">
        <v>2744</v>
      </c>
      <c r="L192" s="5" t="s">
        <v>2745</v>
      </c>
      <c r="M192" s="5" t="s">
        <v>2746</v>
      </c>
      <c r="N192" s="5" t="s">
        <v>2747</v>
      </c>
      <c r="O192" s="5" t="s">
        <v>340</v>
      </c>
      <c r="P192" s="5" t="s">
        <v>341</v>
      </c>
      <c r="Q192" s="5" t="s">
        <v>2748</v>
      </c>
      <c r="R192" s="5" t="s">
        <v>2749</v>
      </c>
      <c r="S192" s="7">
        <v>10000</v>
      </c>
      <c r="T192" s="5" t="s">
        <v>2561</v>
      </c>
      <c r="U192" s="5"/>
      <c r="V192" s="5"/>
      <c r="W192" s="5"/>
      <c r="X192" s="5" t="s">
        <v>2750</v>
      </c>
      <c r="Y192" s="5" t="s">
        <v>2751</v>
      </c>
      <c r="Z192" s="5" t="s">
        <v>2752</v>
      </c>
      <c r="AA192" s="5" t="s">
        <v>2753</v>
      </c>
      <c r="AB192" s="5" t="s">
        <v>2754</v>
      </c>
      <c r="AC192" s="5" t="s">
        <v>50</v>
      </c>
      <c r="AD192" s="5" t="s">
        <v>2755</v>
      </c>
      <c r="AE192" s="5">
        <v>1</v>
      </c>
      <c r="AF192" s="5" t="s">
        <v>2756</v>
      </c>
      <c r="AG192" s="5" t="s">
        <v>2757</v>
      </c>
      <c r="AH192" s="8" t="s">
        <v>3233</v>
      </c>
      <c r="AI192" s="5">
        <v>31735064607421</v>
      </c>
    </row>
    <row r="193" spans="1:35" ht="38.25" x14ac:dyDescent="0.4">
      <c r="A193" s="4">
        <v>4</v>
      </c>
      <c r="B193" s="5">
        <v>174</v>
      </c>
      <c r="C193" s="5" t="s">
        <v>2500</v>
      </c>
      <c r="D193" s="5" t="s">
        <v>2501</v>
      </c>
      <c r="E193" s="5" t="s">
        <v>1900</v>
      </c>
      <c r="F193" s="5" t="s">
        <v>1560</v>
      </c>
      <c r="G193" s="5" t="s">
        <v>2758</v>
      </c>
      <c r="H193" s="4">
        <v>1947</v>
      </c>
      <c r="I193" s="5" t="s">
        <v>2759</v>
      </c>
      <c r="J193" s="5" t="s">
        <v>429</v>
      </c>
      <c r="K193" s="5" t="s">
        <v>2760</v>
      </c>
      <c r="L193" s="5" t="s">
        <v>2761</v>
      </c>
      <c r="M193" s="5" t="s">
        <v>2695</v>
      </c>
      <c r="N193" s="5" t="s">
        <v>2762</v>
      </c>
      <c r="O193" s="5" t="s">
        <v>45</v>
      </c>
      <c r="P193" s="5" t="s">
        <v>45</v>
      </c>
      <c r="Q193" s="5" t="s">
        <v>2763</v>
      </c>
      <c r="R193" s="5" t="s">
        <v>2764</v>
      </c>
      <c r="S193" s="7"/>
      <c r="T193" s="5"/>
      <c r="U193" s="5"/>
      <c r="V193" s="5"/>
      <c r="W193" s="5"/>
      <c r="X193" s="5" t="s">
        <v>2765</v>
      </c>
      <c r="Y193" s="5"/>
      <c r="Z193" s="5"/>
      <c r="AA193" s="5" t="s">
        <v>2766</v>
      </c>
      <c r="AB193" s="5"/>
      <c r="AC193" s="5" t="s">
        <v>164</v>
      </c>
      <c r="AD193" s="5" t="s">
        <v>2767</v>
      </c>
      <c r="AE193" s="5">
        <v>1</v>
      </c>
      <c r="AF193" s="5" t="s">
        <v>2768</v>
      </c>
      <c r="AG193" s="5">
        <v>1947</v>
      </c>
      <c r="AH193" s="8" t="s">
        <v>3233</v>
      </c>
      <c r="AI193" s="5">
        <v>31735066266143</v>
      </c>
    </row>
    <row r="194" spans="1:35" ht="38.25" x14ac:dyDescent="0.4">
      <c r="A194" s="4">
        <v>4</v>
      </c>
      <c r="B194" s="5">
        <v>175</v>
      </c>
      <c r="C194" s="5" t="s">
        <v>2500</v>
      </c>
      <c r="D194" s="5" t="s">
        <v>2501</v>
      </c>
      <c r="E194" s="5" t="s">
        <v>1900</v>
      </c>
      <c r="F194" s="5" t="s">
        <v>1560</v>
      </c>
      <c r="G194" s="5" t="s">
        <v>2758</v>
      </c>
      <c r="H194" s="4">
        <v>1947</v>
      </c>
      <c r="I194" s="5" t="s">
        <v>2759</v>
      </c>
      <c r="J194" s="5" t="s">
        <v>429</v>
      </c>
      <c r="K194" s="5" t="s">
        <v>2760</v>
      </c>
      <c r="L194" s="5" t="s">
        <v>2761</v>
      </c>
      <c r="M194" s="5" t="s">
        <v>2695</v>
      </c>
      <c r="N194" s="5" t="s">
        <v>2769</v>
      </c>
      <c r="O194" s="5" t="s">
        <v>83</v>
      </c>
      <c r="P194" s="5" t="s">
        <v>1634</v>
      </c>
      <c r="Q194" s="5" t="s">
        <v>2770</v>
      </c>
      <c r="R194" s="5" t="s">
        <v>2771</v>
      </c>
      <c r="S194" s="7"/>
      <c r="T194" s="5"/>
      <c r="U194" s="5"/>
      <c r="V194" s="5"/>
      <c r="W194" s="5"/>
      <c r="X194" s="5" t="s">
        <v>2772</v>
      </c>
      <c r="Y194" s="5"/>
      <c r="Z194" s="5"/>
      <c r="AA194" s="5" t="s">
        <v>2766</v>
      </c>
      <c r="AB194" s="5"/>
      <c r="AC194" s="5" t="s">
        <v>164</v>
      </c>
      <c r="AD194" s="5" t="s">
        <v>2773</v>
      </c>
      <c r="AE194" s="5">
        <v>1</v>
      </c>
      <c r="AF194" s="5" t="s">
        <v>2768</v>
      </c>
      <c r="AG194" s="5">
        <v>1947</v>
      </c>
      <c r="AH194" s="8" t="s">
        <v>3233</v>
      </c>
      <c r="AI194" s="5">
        <v>31735066266150</v>
      </c>
    </row>
    <row r="195" spans="1:35" ht="38.25" x14ac:dyDescent="0.4">
      <c r="A195" s="4">
        <v>4</v>
      </c>
      <c r="B195" s="5">
        <v>176</v>
      </c>
      <c r="C195" s="5" t="s">
        <v>2500</v>
      </c>
      <c r="D195" s="5" t="s">
        <v>2501</v>
      </c>
      <c r="E195" s="5" t="s">
        <v>1900</v>
      </c>
      <c r="F195" s="5" t="s">
        <v>1560</v>
      </c>
      <c r="G195" s="5" t="s">
        <v>2758</v>
      </c>
      <c r="H195" s="4">
        <v>1947</v>
      </c>
      <c r="I195" s="5" t="s">
        <v>2759</v>
      </c>
      <c r="J195" s="5" t="s">
        <v>429</v>
      </c>
      <c r="K195" s="5" t="s">
        <v>2760</v>
      </c>
      <c r="L195" s="5" t="s">
        <v>2774</v>
      </c>
      <c r="M195" s="5" t="s">
        <v>2695</v>
      </c>
      <c r="N195" s="5" t="s">
        <v>2769</v>
      </c>
      <c r="O195" s="5" t="s">
        <v>35</v>
      </c>
      <c r="P195" s="5" t="s">
        <v>2775</v>
      </c>
      <c r="Q195" s="5" t="s">
        <v>2776</v>
      </c>
      <c r="R195" s="5" t="s">
        <v>2777</v>
      </c>
      <c r="S195" s="7"/>
      <c r="T195" s="5"/>
      <c r="U195" s="5"/>
      <c r="V195" s="5"/>
      <c r="W195" s="5"/>
      <c r="X195" s="5" t="s">
        <v>2778</v>
      </c>
      <c r="Y195" s="5"/>
      <c r="Z195" s="5"/>
      <c r="AA195" s="5" t="s">
        <v>2766</v>
      </c>
      <c r="AB195" s="5"/>
      <c r="AC195" s="5" t="s">
        <v>50</v>
      </c>
      <c r="AD195" s="5" t="s">
        <v>2779</v>
      </c>
      <c r="AE195" s="5">
        <v>1</v>
      </c>
      <c r="AF195" s="5" t="s">
        <v>2780</v>
      </c>
      <c r="AG195" s="5">
        <v>1947</v>
      </c>
      <c r="AH195" s="8" t="s">
        <v>3233</v>
      </c>
      <c r="AI195" s="5">
        <v>31735066266168</v>
      </c>
    </row>
    <row r="196" spans="1:35" ht="38.25" x14ac:dyDescent="0.4">
      <c r="A196" s="4">
        <v>4</v>
      </c>
      <c r="B196" s="5">
        <v>177</v>
      </c>
      <c r="C196" s="5" t="s">
        <v>2500</v>
      </c>
      <c r="D196" s="5" t="s">
        <v>2501</v>
      </c>
      <c r="E196" s="5" t="s">
        <v>1900</v>
      </c>
      <c r="F196" s="5" t="s">
        <v>1560</v>
      </c>
      <c r="G196" s="5" t="s">
        <v>2758</v>
      </c>
      <c r="H196" s="4">
        <v>1947</v>
      </c>
      <c r="I196" s="5" t="s">
        <v>2759</v>
      </c>
      <c r="J196" s="5" t="s">
        <v>429</v>
      </c>
      <c r="K196" s="5" t="s">
        <v>2760</v>
      </c>
      <c r="L196" s="5" t="s">
        <v>2774</v>
      </c>
      <c r="M196" s="5" t="s">
        <v>2695</v>
      </c>
      <c r="N196" s="5" t="s">
        <v>2762</v>
      </c>
      <c r="O196" s="5" t="s">
        <v>45</v>
      </c>
      <c r="P196" s="5" t="s">
        <v>45</v>
      </c>
      <c r="Q196" s="5" t="s">
        <v>2781</v>
      </c>
      <c r="R196" s="5" t="s">
        <v>2782</v>
      </c>
      <c r="S196" s="7"/>
      <c r="T196" s="5"/>
      <c r="U196" s="5"/>
      <c r="V196" s="5"/>
      <c r="W196" s="5"/>
      <c r="X196" s="5" t="s">
        <v>2783</v>
      </c>
      <c r="Y196" s="5"/>
      <c r="Z196" s="5"/>
      <c r="AA196" s="5" t="s">
        <v>2766</v>
      </c>
      <c r="AB196" s="5"/>
      <c r="AC196" s="5" t="s">
        <v>164</v>
      </c>
      <c r="AD196" s="5" t="s">
        <v>2784</v>
      </c>
      <c r="AE196" s="5">
        <v>1</v>
      </c>
      <c r="AF196" s="5" t="s">
        <v>2780</v>
      </c>
      <c r="AG196" s="5">
        <v>1947</v>
      </c>
      <c r="AH196" s="8" t="s">
        <v>3233</v>
      </c>
      <c r="AI196" s="5">
        <v>31735066266176</v>
      </c>
    </row>
    <row r="197" spans="1:35" ht="38.25" x14ac:dyDescent="0.4">
      <c r="A197" s="4">
        <v>4</v>
      </c>
      <c r="B197" s="5">
        <v>178</v>
      </c>
      <c r="C197" s="5" t="s">
        <v>2500</v>
      </c>
      <c r="D197" s="5" t="s">
        <v>2501</v>
      </c>
      <c r="E197" s="5" t="s">
        <v>1900</v>
      </c>
      <c r="F197" s="5" t="s">
        <v>1560</v>
      </c>
      <c r="G197" s="5" t="s">
        <v>2758</v>
      </c>
      <c r="H197" s="4">
        <v>1947</v>
      </c>
      <c r="I197" s="5" t="s">
        <v>2759</v>
      </c>
      <c r="J197" s="5" t="s">
        <v>429</v>
      </c>
      <c r="K197" s="5" t="s">
        <v>2760</v>
      </c>
      <c r="L197" s="5" t="s">
        <v>2774</v>
      </c>
      <c r="M197" s="5" t="s">
        <v>2695</v>
      </c>
      <c r="N197" s="5" t="s">
        <v>2785</v>
      </c>
      <c r="O197" s="5" t="s">
        <v>45</v>
      </c>
      <c r="P197" s="5" t="s">
        <v>45</v>
      </c>
      <c r="Q197" s="5" t="s">
        <v>2786</v>
      </c>
      <c r="R197" s="5" t="s">
        <v>2787</v>
      </c>
      <c r="S197" s="7"/>
      <c r="T197" s="5"/>
      <c r="U197" s="5"/>
      <c r="V197" s="5"/>
      <c r="W197" s="5"/>
      <c r="X197" s="5" t="s">
        <v>2788</v>
      </c>
      <c r="Y197" s="5"/>
      <c r="Z197" s="5"/>
      <c r="AA197" s="5" t="s">
        <v>2766</v>
      </c>
      <c r="AB197" s="5"/>
      <c r="AC197" s="5" t="s">
        <v>50</v>
      </c>
      <c r="AD197" s="5" t="s">
        <v>2789</v>
      </c>
      <c r="AE197" s="5">
        <v>1</v>
      </c>
      <c r="AF197" s="5" t="s">
        <v>2790</v>
      </c>
      <c r="AG197" s="5">
        <v>1947</v>
      </c>
      <c r="AH197" s="8" t="s">
        <v>3233</v>
      </c>
      <c r="AI197" s="5">
        <v>31735066266184</v>
      </c>
    </row>
    <row r="198" spans="1:35" ht="38.25" x14ac:dyDescent="0.4">
      <c r="A198" s="4">
        <v>4</v>
      </c>
      <c r="B198" s="5">
        <v>179</v>
      </c>
      <c r="C198" s="5" t="s">
        <v>2500</v>
      </c>
      <c r="D198" s="5" t="s">
        <v>2501</v>
      </c>
      <c r="E198" s="5" t="s">
        <v>1900</v>
      </c>
      <c r="F198" s="5" t="s">
        <v>1560</v>
      </c>
      <c r="G198" s="5" t="s">
        <v>2758</v>
      </c>
      <c r="H198" s="4">
        <v>1947</v>
      </c>
      <c r="I198" s="5" t="s">
        <v>2759</v>
      </c>
      <c r="J198" s="5" t="s">
        <v>429</v>
      </c>
      <c r="K198" s="5" t="s">
        <v>2760</v>
      </c>
      <c r="L198" s="5" t="s">
        <v>2774</v>
      </c>
      <c r="M198" s="5" t="s">
        <v>2695</v>
      </c>
      <c r="N198" s="5" t="s">
        <v>2769</v>
      </c>
      <c r="O198" s="5" t="s">
        <v>83</v>
      </c>
      <c r="P198" s="5" t="s">
        <v>1634</v>
      </c>
      <c r="Q198" s="5" t="s">
        <v>2791</v>
      </c>
      <c r="R198" s="5" t="s">
        <v>2792</v>
      </c>
      <c r="S198" s="7"/>
      <c r="T198" s="5"/>
      <c r="U198" s="5"/>
      <c r="V198" s="5"/>
      <c r="W198" s="5"/>
      <c r="X198" s="5" t="s">
        <v>2793</v>
      </c>
      <c r="Y198" s="5"/>
      <c r="Z198" s="5"/>
      <c r="AA198" s="5" t="s">
        <v>2766</v>
      </c>
      <c r="AB198" s="5"/>
      <c r="AC198" s="5" t="s">
        <v>164</v>
      </c>
      <c r="AD198" s="5" t="s">
        <v>2784</v>
      </c>
      <c r="AE198" s="5">
        <v>1</v>
      </c>
      <c r="AF198" s="5" t="s">
        <v>2780</v>
      </c>
      <c r="AG198" s="5">
        <v>1947</v>
      </c>
      <c r="AH198" s="8" t="s">
        <v>3233</v>
      </c>
      <c r="AI198" s="5">
        <v>31735066266192</v>
      </c>
    </row>
    <row r="199" spans="1:35" ht="38.25" x14ac:dyDescent="0.4">
      <c r="A199" s="4">
        <v>4</v>
      </c>
      <c r="B199" s="5">
        <v>180</v>
      </c>
      <c r="C199" s="5" t="s">
        <v>2500</v>
      </c>
      <c r="D199" s="5" t="s">
        <v>2501</v>
      </c>
      <c r="E199" s="5" t="s">
        <v>1900</v>
      </c>
      <c r="F199" s="5" t="s">
        <v>1560</v>
      </c>
      <c r="G199" s="5" t="s">
        <v>2758</v>
      </c>
      <c r="H199" s="4">
        <v>1947</v>
      </c>
      <c r="I199" s="5" t="s">
        <v>2759</v>
      </c>
      <c r="J199" s="5" t="s">
        <v>429</v>
      </c>
      <c r="K199" s="5" t="s">
        <v>2760</v>
      </c>
      <c r="L199" s="5" t="s">
        <v>2774</v>
      </c>
      <c r="M199" s="5" t="s">
        <v>2695</v>
      </c>
      <c r="N199" s="5" t="s">
        <v>2769</v>
      </c>
      <c r="O199" s="5" t="s">
        <v>83</v>
      </c>
      <c r="P199" s="5" t="s">
        <v>1634</v>
      </c>
      <c r="Q199" s="5" t="s">
        <v>2794</v>
      </c>
      <c r="R199" s="5" t="s">
        <v>2792</v>
      </c>
      <c r="S199" s="7"/>
      <c r="T199" s="5"/>
      <c r="U199" s="5"/>
      <c r="V199" s="5"/>
      <c r="W199" s="5"/>
      <c r="X199" s="5" t="s">
        <v>2795</v>
      </c>
      <c r="Y199" s="5"/>
      <c r="Z199" s="5"/>
      <c r="AA199" s="5" t="s">
        <v>2766</v>
      </c>
      <c r="AB199" s="5"/>
      <c r="AC199" s="5" t="s">
        <v>164</v>
      </c>
      <c r="AD199" s="5" t="s">
        <v>2784</v>
      </c>
      <c r="AE199" s="5">
        <v>1</v>
      </c>
      <c r="AF199" s="5" t="s">
        <v>2780</v>
      </c>
      <c r="AG199" s="5">
        <v>1947</v>
      </c>
      <c r="AH199" s="8" t="s">
        <v>3233</v>
      </c>
      <c r="AI199" s="5">
        <v>31735066266200</v>
      </c>
    </row>
    <row r="200" spans="1:35" ht="38.25" x14ac:dyDescent="0.4">
      <c r="A200" s="4">
        <v>4</v>
      </c>
      <c r="B200" s="5">
        <v>181</v>
      </c>
      <c r="C200" s="5" t="s">
        <v>2500</v>
      </c>
      <c r="D200" s="5" t="s">
        <v>2501</v>
      </c>
      <c r="E200" s="5" t="s">
        <v>1900</v>
      </c>
      <c r="F200" s="5" t="s">
        <v>1560</v>
      </c>
      <c r="G200" s="5" t="s">
        <v>2758</v>
      </c>
      <c r="H200" s="4">
        <v>1947</v>
      </c>
      <c r="I200" s="5" t="s">
        <v>2759</v>
      </c>
      <c r="J200" s="5" t="s">
        <v>429</v>
      </c>
      <c r="K200" s="5" t="s">
        <v>2760</v>
      </c>
      <c r="L200" s="5" t="s">
        <v>2774</v>
      </c>
      <c r="M200" s="5" t="s">
        <v>2695</v>
      </c>
      <c r="N200" s="5" t="s">
        <v>2796</v>
      </c>
      <c r="O200" s="5" t="s">
        <v>45</v>
      </c>
      <c r="P200" s="5" t="s">
        <v>2797</v>
      </c>
      <c r="Q200" s="5" t="s">
        <v>2798</v>
      </c>
      <c r="R200" s="5" t="s">
        <v>2799</v>
      </c>
      <c r="S200" s="7"/>
      <c r="T200" s="5"/>
      <c r="U200" s="5"/>
      <c r="V200" s="5"/>
      <c r="W200" s="5"/>
      <c r="X200" s="5" t="s">
        <v>2800</v>
      </c>
      <c r="Y200" s="5"/>
      <c r="Z200" s="5"/>
      <c r="AA200" s="5" t="s">
        <v>2766</v>
      </c>
      <c r="AB200" s="5"/>
      <c r="AC200" s="5" t="s">
        <v>50</v>
      </c>
      <c r="AD200" s="5" t="s">
        <v>2801</v>
      </c>
      <c r="AE200" s="5">
        <v>1</v>
      </c>
      <c r="AF200" s="5" t="s">
        <v>2780</v>
      </c>
      <c r="AG200" s="5">
        <v>1947</v>
      </c>
      <c r="AH200" s="8" t="s">
        <v>3233</v>
      </c>
      <c r="AI200" s="5">
        <v>31735066266218</v>
      </c>
    </row>
    <row r="201" spans="1:35" ht="38.25" x14ac:dyDescent="0.4">
      <c r="A201" s="4">
        <v>4</v>
      </c>
      <c r="B201" s="5">
        <v>182</v>
      </c>
      <c r="C201" s="5" t="s">
        <v>2500</v>
      </c>
      <c r="D201" s="5" t="s">
        <v>2501</v>
      </c>
      <c r="E201" s="5" t="s">
        <v>1900</v>
      </c>
      <c r="F201" s="5" t="s">
        <v>1560</v>
      </c>
      <c r="G201" s="5" t="s">
        <v>2758</v>
      </c>
      <c r="H201" s="4">
        <v>1947</v>
      </c>
      <c r="I201" s="5" t="s">
        <v>2759</v>
      </c>
      <c r="J201" s="5" t="s">
        <v>429</v>
      </c>
      <c r="K201" s="5" t="s">
        <v>2760</v>
      </c>
      <c r="L201" s="5" t="s">
        <v>2774</v>
      </c>
      <c r="M201" s="5" t="s">
        <v>2695</v>
      </c>
      <c r="N201" s="5" t="s">
        <v>2802</v>
      </c>
      <c r="O201" s="5" t="s">
        <v>45</v>
      </c>
      <c r="P201" s="5" t="s">
        <v>45</v>
      </c>
      <c r="Q201" s="5" t="s">
        <v>2803</v>
      </c>
      <c r="R201" s="5" t="s">
        <v>2804</v>
      </c>
      <c r="S201" s="7"/>
      <c r="T201" s="5"/>
      <c r="U201" s="5"/>
      <c r="V201" s="5"/>
      <c r="W201" s="5"/>
      <c r="X201" s="5" t="s">
        <v>2805</v>
      </c>
      <c r="Y201" s="5"/>
      <c r="Z201" s="5"/>
      <c r="AA201" s="5" t="s">
        <v>2766</v>
      </c>
      <c r="AB201" s="5"/>
      <c r="AC201" s="5" t="s">
        <v>50</v>
      </c>
      <c r="AD201" s="5" t="s">
        <v>2806</v>
      </c>
      <c r="AE201" s="5">
        <v>1</v>
      </c>
      <c r="AF201" s="5" t="s">
        <v>2780</v>
      </c>
      <c r="AG201" s="5">
        <v>1947</v>
      </c>
      <c r="AH201" s="8" t="s">
        <v>3233</v>
      </c>
      <c r="AI201" s="5">
        <v>31735066266226</v>
      </c>
    </row>
    <row r="202" spans="1:35" ht="51" x14ac:dyDescent="0.4">
      <c r="A202" s="4">
        <v>4</v>
      </c>
      <c r="B202" s="5">
        <v>183</v>
      </c>
      <c r="C202" s="5" t="s">
        <v>2500</v>
      </c>
      <c r="D202" s="5" t="s">
        <v>2501</v>
      </c>
      <c r="E202" s="5" t="s">
        <v>1900</v>
      </c>
      <c r="F202" s="5" t="s">
        <v>1560</v>
      </c>
      <c r="G202" s="5" t="s">
        <v>2758</v>
      </c>
      <c r="H202" s="4">
        <v>1947</v>
      </c>
      <c r="I202" s="5" t="s">
        <v>2759</v>
      </c>
      <c r="J202" s="5" t="s">
        <v>429</v>
      </c>
      <c r="K202" s="5" t="s">
        <v>2760</v>
      </c>
      <c r="L202" s="5" t="s">
        <v>2774</v>
      </c>
      <c r="M202" s="5" t="s">
        <v>2695</v>
      </c>
      <c r="N202" s="5" t="s">
        <v>2769</v>
      </c>
      <c r="O202" s="5" t="s">
        <v>83</v>
      </c>
      <c r="P202" s="5" t="s">
        <v>1634</v>
      </c>
      <c r="Q202" s="5" t="s">
        <v>2807</v>
      </c>
      <c r="R202" s="5" t="s">
        <v>2808</v>
      </c>
      <c r="S202" s="7"/>
      <c r="T202" s="5"/>
      <c r="U202" s="5"/>
      <c r="V202" s="5"/>
      <c r="W202" s="5"/>
      <c r="X202" s="5" t="s">
        <v>2809</v>
      </c>
      <c r="Y202" s="5"/>
      <c r="Z202" s="5"/>
      <c r="AA202" s="5" t="s">
        <v>2766</v>
      </c>
      <c r="AB202" s="5"/>
      <c r="AC202" s="5" t="s">
        <v>164</v>
      </c>
      <c r="AD202" s="5" t="s">
        <v>2810</v>
      </c>
      <c r="AE202" s="5">
        <v>1</v>
      </c>
      <c r="AF202" s="5" t="s">
        <v>2780</v>
      </c>
      <c r="AG202" s="5">
        <v>1947</v>
      </c>
      <c r="AH202" s="8" t="s">
        <v>3233</v>
      </c>
      <c r="AI202" s="5">
        <v>31735066266234</v>
      </c>
    </row>
    <row r="203" spans="1:35" ht="38.25" x14ac:dyDescent="0.4">
      <c r="A203" s="4">
        <v>4</v>
      </c>
      <c r="B203" s="5">
        <v>184</v>
      </c>
      <c r="C203" s="5" t="s">
        <v>2500</v>
      </c>
      <c r="D203" s="5" t="s">
        <v>2501</v>
      </c>
      <c r="E203" s="5" t="s">
        <v>1900</v>
      </c>
      <c r="F203" s="5" t="s">
        <v>1560</v>
      </c>
      <c r="G203" s="5" t="s">
        <v>2758</v>
      </c>
      <c r="H203" s="4">
        <v>1947</v>
      </c>
      <c r="I203" s="5" t="s">
        <v>2759</v>
      </c>
      <c r="J203" s="5" t="s">
        <v>429</v>
      </c>
      <c r="K203" s="5" t="s">
        <v>2760</v>
      </c>
      <c r="L203" s="5" t="s">
        <v>2774</v>
      </c>
      <c r="M203" s="5" t="s">
        <v>2695</v>
      </c>
      <c r="N203" s="5" t="s">
        <v>2811</v>
      </c>
      <c r="O203" s="5" t="s">
        <v>45</v>
      </c>
      <c r="P203" s="5" t="s">
        <v>45</v>
      </c>
      <c r="Q203" s="5" t="s">
        <v>2812</v>
      </c>
      <c r="R203" s="5" t="s">
        <v>2813</v>
      </c>
      <c r="S203" s="7"/>
      <c r="T203" s="5"/>
      <c r="U203" s="5"/>
      <c r="V203" s="5"/>
      <c r="W203" s="5"/>
      <c r="X203" s="5" t="s">
        <v>2814</v>
      </c>
      <c r="Y203" s="5"/>
      <c r="Z203" s="5"/>
      <c r="AA203" s="5" t="s">
        <v>2766</v>
      </c>
      <c r="AB203" s="5"/>
      <c r="AC203" s="5" t="s">
        <v>50</v>
      </c>
      <c r="AD203" s="5" t="s">
        <v>2773</v>
      </c>
      <c r="AE203" s="5">
        <v>1</v>
      </c>
      <c r="AF203" s="5" t="s">
        <v>2780</v>
      </c>
      <c r="AG203" s="5">
        <v>1947</v>
      </c>
      <c r="AH203" s="8" t="s">
        <v>3233</v>
      </c>
      <c r="AI203" s="5">
        <v>31735066266242</v>
      </c>
    </row>
    <row r="204" spans="1:35" ht="51" x14ac:dyDescent="0.4">
      <c r="A204" s="4">
        <v>4</v>
      </c>
      <c r="B204" s="5">
        <v>185</v>
      </c>
      <c r="C204" s="5" t="s">
        <v>2500</v>
      </c>
      <c r="D204" s="5" t="s">
        <v>2501</v>
      </c>
      <c r="E204" s="5" t="s">
        <v>1900</v>
      </c>
      <c r="F204" s="5" t="s">
        <v>1560</v>
      </c>
      <c r="G204" s="5" t="s">
        <v>2815</v>
      </c>
      <c r="H204" s="4">
        <v>1947</v>
      </c>
      <c r="I204" s="5" t="s">
        <v>2759</v>
      </c>
      <c r="J204" s="5" t="s">
        <v>429</v>
      </c>
      <c r="K204" s="5" t="s">
        <v>2816</v>
      </c>
      <c r="L204" s="5" t="s">
        <v>2817</v>
      </c>
      <c r="M204" s="5" t="s">
        <v>2695</v>
      </c>
      <c r="N204" s="5" t="s">
        <v>2818</v>
      </c>
      <c r="O204" s="5" t="s">
        <v>582</v>
      </c>
      <c r="P204" s="5" t="s">
        <v>2819</v>
      </c>
      <c r="Q204" s="5" t="s">
        <v>2820</v>
      </c>
      <c r="R204" s="5" t="s">
        <v>2821</v>
      </c>
      <c r="S204" s="7"/>
      <c r="T204" s="5"/>
      <c r="U204" s="5"/>
      <c r="V204" s="5"/>
      <c r="W204" s="5"/>
      <c r="X204" s="5" t="s">
        <v>2822</v>
      </c>
      <c r="Y204" s="5"/>
      <c r="Z204" s="5"/>
      <c r="AA204" s="5" t="s">
        <v>2823</v>
      </c>
      <c r="AB204" s="5"/>
      <c r="AC204" s="5" t="s">
        <v>50</v>
      </c>
      <c r="AD204" s="5" t="s">
        <v>2824</v>
      </c>
      <c r="AE204" s="5">
        <v>1</v>
      </c>
      <c r="AF204" s="5" t="s">
        <v>2825</v>
      </c>
      <c r="AG204" s="5">
        <v>1947</v>
      </c>
      <c r="AH204" s="8" t="s">
        <v>3233</v>
      </c>
      <c r="AI204" s="5">
        <v>31735066237771</v>
      </c>
    </row>
    <row r="205" spans="1:35" ht="38.25" x14ac:dyDescent="0.4">
      <c r="A205" s="4">
        <v>4</v>
      </c>
      <c r="B205" s="5">
        <v>186</v>
      </c>
      <c r="C205" s="5" t="s">
        <v>2500</v>
      </c>
      <c r="D205" s="5" t="s">
        <v>2501</v>
      </c>
      <c r="E205" s="5" t="s">
        <v>1900</v>
      </c>
      <c r="F205" s="5" t="s">
        <v>1560</v>
      </c>
      <c r="G205" s="5" t="s">
        <v>2826</v>
      </c>
      <c r="H205" s="4">
        <v>1947</v>
      </c>
      <c r="I205" s="5" t="s">
        <v>2759</v>
      </c>
      <c r="J205" s="5" t="s">
        <v>429</v>
      </c>
      <c r="K205" s="5" t="s">
        <v>2816</v>
      </c>
      <c r="L205" s="5" t="s">
        <v>2827</v>
      </c>
      <c r="M205" s="5" t="s">
        <v>2695</v>
      </c>
      <c r="N205" s="5" t="s">
        <v>2828</v>
      </c>
      <c r="O205" s="5" t="s">
        <v>45</v>
      </c>
      <c r="P205" s="5" t="s">
        <v>45</v>
      </c>
      <c r="Q205" s="5" t="s">
        <v>2829</v>
      </c>
      <c r="R205" s="5" t="s">
        <v>2830</v>
      </c>
      <c r="S205" s="7"/>
      <c r="T205" s="5"/>
      <c r="U205" s="5"/>
      <c r="V205" s="5"/>
      <c r="W205" s="5"/>
      <c r="X205" s="5" t="s">
        <v>2831</v>
      </c>
      <c r="Y205" s="5"/>
      <c r="Z205" s="5"/>
      <c r="AA205" s="5" t="s">
        <v>2832</v>
      </c>
      <c r="AB205" s="5"/>
      <c r="AC205" s="5" t="s">
        <v>50</v>
      </c>
      <c r="AD205" s="5" t="s">
        <v>2833</v>
      </c>
      <c r="AE205" s="5">
        <v>1</v>
      </c>
      <c r="AF205" s="5" t="s">
        <v>2703</v>
      </c>
      <c r="AG205" s="5">
        <v>1947</v>
      </c>
      <c r="AH205" s="8" t="s">
        <v>3233</v>
      </c>
      <c r="AI205" s="5">
        <v>31735066266333</v>
      </c>
    </row>
    <row r="206" spans="1:35" ht="63.75" x14ac:dyDescent="0.4">
      <c r="A206" s="4">
        <v>4</v>
      </c>
      <c r="B206" s="5">
        <v>187</v>
      </c>
      <c r="C206" s="5" t="s">
        <v>243</v>
      </c>
      <c r="D206" s="5" t="s">
        <v>2834</v>
      </c>
      <c r="E206" s="5" t="s">
        <v>1900</v>
      </c>
      <c r="F206" s="5" t="s">
        <v>1560</v>
      </c>
      <c r="G206" s="5" t="s">
        <v>2835</v>
      </c>
      <c r="H206" s="4">
        <v>1947</v>
      </c>
      <c r="I206" s="5" t="s">
        <v>2836</v>
      </c>
      <c r="J206" s="5" t="s">
        <v>41</v>
      </c>
      <c r="K206" s="5" t="s">
        <v>2837</v>
      </c>
      <c r="L206" s="5" t="s">
        <v>2838</v>
      </c>
      <c r="M206" s="5" t="s">
        <v>2695</v>
      </c>
      <c r="N206" s="5" t="s">
        <v>2839</v>
      </c>
      <c r="O206" s="5" t="s">
        <v>45</v>
      </c>
      <c r="P206" s="5" t="s">
        <v>45</v>
      </c>
      <c r="Q206" s="5" t="s">
        <v>2840</v>
      </c>
      <c r="R206" s="5" t="s">
        <v>2841</v>
      </c>
      <c r="S206" s="7">
        <v>250000</v>
      </c>
      <c r="T206" s="5" t="s">
        <v>2561</v>
      </c>
      <c r="U206" s="5"/>
      <c r="V206" s="5"/>
      <c r="W206" s="5"/>
      <c r="X206" s="5" t="s">
        <v>2842</v>
      </c>
      <c r="Y206" s="5"/>
      <c r="Z206" s="5"/>
      <c r="AA206" s="5" t="s">
        <v>2843</v>
      </c>
      <c r="AB206" s="5" t="s">
        <v>2844</v>
      </c>
      <c r="AC206" s="5" t="s">
        <v>50</v>
      </c>
      <c r="AD206" s="5" t="s">
        <v>2845</v>
      </c>
      <c r="AE206" s="5">
        <v>1</v>
      </c>
      <c r="AF206" s="5" t="s">
        <v>2846</v>
      </c>
      <c r="AG206" s="5">
        <v>1947</v>
      </c>
      <c r="AH206" s="8" t="s">
        <v>3233</v>
      </c>
      <c r="AI206" s="5">
        <v>31735066267935</v>
      </c>
    </row>
    <row r="207" spans="1:35" ht="140.25" x14ac:dyDescent="0.4">
      <c r="A207" s="4">
        <v>4</v>
      </c>
      <c r="B207" s="5">
        <v>188</v>
      </c>
      <c r="C207" s="5" t="s">
        <v>95</v>
      </c>
      <c r="D207" s="5" t="s">
        <v>96</v>
      </c>
      <c r="E207" s="5" t="s">
        <v>1900</v>
      </c>
      <c r="F207" s="5" t="s">
        <v>1560</v>
      </c>
      <c r="G207" s="5" t="s">
        <v>2847</v>
      </c>
      <c r="H207" s="4">
        <v>1947</v>
      </c>
      <c r="I207" s="5" t="s">
        <v>2848</v>
      </c>
      <c r="J207" s="5" t="s">
        <v>41</v>
      </c>
      <c r="K207" s="5" t="s">
        <v>2849</v>
      </c>
      <c r="L207" s="5" t="s">
        <v>2850</v>
      </c>
      <c r="M207" s="5" t="s">
        <v>2663</v>
      </c>
      <c r="N207" s="5" t="s">
        <v>2851</v>
      </c>
      <c r="O207" s="5" t="s">
        <v>83</v>
      </c>
      <c r="P207" s="5" t="s">
        <v>83</v>
      </c>
      <c r="Q207" s="5" t="s">
        <v>2852</v>
      </c>
      <c r="R207" s="5" t="s">
        <v>2853</v>
      </c>
      <c r="S207" s="7">
        <v>1000000</v>
      </c>
      <c r="T207" s="5" t="s">
        <v>2561</v>
      </c>
      <c r="U207" s="5" t="s">
        <v>2854</v>
      </c>
      <c r="V207" s="5" t="s">
        <v>2855</v>
      </c>
      <c r="W207" s="5" t="s">
        <v>2856</v>
      </c>
      <c r="X207" s="5" t="s">
        <v>2857</v>
      </c>
      <c r="Y207" s="5" t="s">
        <v>2858</v>
      </c>
      <c r="Z207" s="5" t="s">
        <v>2859</v>
      </c>
      <c r="AA207" s="5" t="s">
        <v>2860</v>
      </c>
      <c r="AB207" s="5" t="s">
        <v>2861</v>
      </c>
      <c r="AC207" s="5" t="s">
        <v>164</v>
      </c>
      <c r="AD207" s="5" t="s">
        <v>2862</v>
      </c>
      <c r="AE207" s="5">
        <v>3</v>
      </c>
      <c r="AF207" s="5" t="s">
        <v>2863</v>
      </c>
      <c r="AG207" s="5" t="s">
        <v>2864</v>
      </c>
      <c r="AH207" s="8" t="s">
        <v>3233</v>
      </c>
      <c r="AI207" s="5">
        <v>31735066267547</v>
      </c>
    </row>
    <row r="208" spans="1:35" ht="114.75" x14ac:dyDescent="0.4">
      <c r="A208" s="4">
        <v>4</v>
      </c>
      <c r="B208" s="5" t="s">
        <v>2865</v>
      </c>
      <c r="C208" s="5" t="s">
        <v>53</v>
      </c>
      <c r="D208" s="5" t="s">
        <v>2866</v>
      </c>
      <c r="E208" s="5" t="s">
        <v>1900</v>
      </c>
      <c r="F208" s="5" t="s">
        <v>1560</v>
      </c>
      <c r="G208" s="5" t="s">
        <v>2867</v>
      </c>
      <c r="H208" s="4">
        <v>1948</v>
      </c>
      <c r="I208" s="5" t="s">
        <v>2868</v>
      </c>
      <c r="J208" s="5" t="s">
        <v>429</v>
      </c>
      <c r="K208" s="5" t="s">
        <v>2869</v>
      </c>
      <c r="L208" s="5" t="s">
        <v>2870</v>
      </c>
      <c r="M208" s="5" t="s">
        <v>61</v>
      </c>
      <c r="N208" s="5" t="s">
        <v>2871</v>
      </c>
      <c r="O208" s="5" t="s">
        <v>83</v>
      </c>
      <c r="P208" s="5" t="s">
        <v>83</v>
      </c>
      <c r="Q208" s="5" t="s">
        <v>2872</v>
      </c>
      <c r="R208" s="5"/>
      <c r="S208" s="7"/>
      <c r="T208" s="5"/>
      <c r="U208" s="5"/>
      <c r="V208" s="5"/>
      <c r="W208" s="5"/>
      <c r="X208" s="5" t="s">
        <v>2873</v>
      </c>
      <c r="Y208" s="5"/>
      <c r="Z208" s="5" t="s">
        <v>2874</v>
      </c>
      <c r="AA208" s="5" t="s">
        <v>2875</v>
      </c>
      <c r="AB208" s="5"/>
      <c r="AC208" s="5" t="s">
        <v>50</v>
      </c>
      <c r="AD208" s="5" t="s">
        <v>2876</v>
      </c>
      <c r="AE208" s="5">
        <v>3</v>
      </c>
      <c r="AF208" s="5" t="s">
        <v>2877</v>
      </c>
      <c r="AG208" s="5">
        <v>1948</v>
      </c>
      <c r="AH208" s="8" t="s">
        <v>3233</v>
      </c>
      <c r="AI208" s="5">
        <v>31735068223464</v>
      </c>
    </row>
    <row r="209" spans="1:35" ht="51" x14ac:dyDescent="0.4">
      <c r="A209" s="4">
        <v>4</v>
      </c>
      <c r="B209" s="5">
        <v>189</v>
      </c>
      <c r="C209" s="5" t="s">
        <v>2500</v>
      </c>
      <c r="D209" s="5" t="s">
        <v>2878</v>
      </c>
      <c r="E209" s="5" t="s">
        <v>2879</v>
      </c>
      <c r="F209" s="5" t="s">
        <v>2880</v>
      </c>
      <c r="G209" s="5" t="s">
        <v>2881</v>
      </c>
      <c r="H209" s="4">
        <v>1949</v>
      </c>
      <c r="I209" s="5" t="s">
        <v>2882</v>
      </c>
      <c r="J209" s="5" t="s">
        <v>429</v>
      </c>
      <c r="K209" s="5" t="s">
        <v>2883</v>
      </c>
      <c r="L209" s="5" t="s">
        <v>2884</v>
      </c>
      <c r="M209" s="5" t="s">
        <v>2885</v>
      </c>
      <c r="N209" s="5" t="s">
        <v>2886</v>
      </c>
      <c r="O209" s="5" t="s">
        <v>45</v>
      </c>
      <c r="P209" s="5" t="s">
        <v>45</v>
      </c>
      <c r="Q209" s="5" t="s">
        <v>2887</v>
      </c>
      <c r="R209" s="5"/>
      <c r="S209" s="7"/>
      <c r="T209" s="5"/>
      <c r="U209" s="5"/>
      <c r="V209" s="5"/>
      <c r="W209" s="5"/>
      <c r="X209" s="5" t="s">
        <v>2888</v>
      </c>
      <c r="Y209" s="5"/>
      <c r="Z209" s="5"/>
      <c r="AA209" s="5" t="s">
        <v>2889</v>
      </c>
      <c r="AB209" s="5" t="s">
        <v>2890</v>
      </c>
      <c r="AC209" s="5" t="s">
        <v>164</v>
      </c>
      <c r="AD209" s="5" t="s">
        <v>2891</v>
      </c>
      <c r="AE209" s="5">
        <v>1</v>
      </c>
      <c r="AF209" s="5" t="s">
        <v>2892</v>
      </c>
      <c r="AG209" s="5">
        <v>1949</v>
      </c>
      <c r="AH209" s="8" t="s">
        <v>3233</v>
      </c>
      <c r="AI209" s="5">
        <v>31735066267778</v>
      </c>
    </row>
    <row r="210" spans="1:35" ht="38.25" x14ac:dyDescent="0.4">
      <c r="A210" s="4">
        <v>4</v>
      </c>
      <c r="B210" s="5">
        <v>190</v>
      </c>
      <c r="C210" s="5" t="s">
        <v>35</v>
      </c>
      <c r="D210" s="5" t="s">
        <v>2893</v>
      </c>
      <c r="E210" s="5" t="s">
        <v>2879</v>
      </c>
      <c r="F210" s="5" t="s">
        <v>2894</v>
      </c>
      <c r="G210" s="5" t="s">
        <v>2895</v>
      </c>
      <c r="H210" s="4">
        <v>1949</v>
      </c>
      <c r="I210" s="5" t="s">
        <v>61</v>
      </c>
      <c r="J210" s="5" t="s">
        <v>61</v>
      </c>
      <c r="K210" s="5"/>
      <c r="L210" s="5"/>
      <c r="M210" s="5" t="s">
        <v>61</v>
      </c>
      <c r="N210" s="5" t="s">
        <v>2896</v>
      </c>
      <c r="O210" s="5" t="s">
        <v>433</v>
      </c>
      <c r="P210" s="5" t="s">
        <v>2897</v>
      </c>
      <c r="Q210" s="5" t="s">
        <v>2898</v>
      </c>
      <c r="R210" s="5" t="s">
        <v>2899</v>
      </c>
      <c r="S210" s="7"/>
      <c r="T210" s="5"/>
      <c r="U210" s="5"/>
      <c r="V210" s="5"/>
      <c r="W210" s="5"/>
      <c r="X210" s="5" t="s">
        <v>2900</v>
      </c>
      <c r="Y210" s="5"/>
      <c r="Z210" s="5"/>
      <c r="AA210" s="5" t="s">
        <v>2901</v>
      </c>
      <c r="AB210" s="5"/>
      <c r="AC210" s="5" t="s">
        <v>313</v>
      </c>
      <c r="AD210" s="5" t="s">
        <v>2902</v>
      </c>
      <c r="AE210" s="5">
        <v>1</v>
      </c>
      <c r="AF210" s="5" t="s">
        <v>2903</v>
      </c>
      <c r="AG210" s="5">
        <v>1949</v>
      </c>
      <c r="AH210" s="8" t="s">
        <v>3233</v>
      </c>
      <c r="AI210" s="5">
        <v>31735066267653</v>
      </c>
    </row>
    <row r="211" spans="1:35" ht="38.25" x14ac:dyDescent="0.4">
      <c r="A211" s="4">
        <v>4</v>
      </c>
      <c r="B211" s="5">
        <v>191</v>
      </c>
      <c r="C211" s="5" t="s">
        <v>35</v>
      </c>
      <c r="D211" s="5" t="s">
        <v>2904</v>
      </c>
      <c r="E211" s="5" t="s">
        <v>2879</v>
      </c>
      <c r="F211" s="5" t="s">
        <v>1560</v>
      </c>
      <c r="G211" s="5" t="s">
        <v>2905</v>
      </c>
      <c r="H211" s="4">
        <v>1949</v>
      </c>
      <c r="I211" s="5" t="s">
        <v>2906</v>
      </c>
      <c r="J211" s="5" t="s">
        <v>429</v>
      </c>
      <c r="K211" s="5" t="s">
        <v>2907</v>
      </c>
      <c r="L211" s="5" t="s">
        <v>2908</v>
      </c>
      <c r="M211" s="5" t="s">
        <v>2746</v>
      </c>
      <c r="N211" s="5" t="s">
        <v>2909</v>
      </c>
      <c r="O211" s="5" t="s">
        <v>433</v>
      </c>
      <c r="P211" s="5" t="s">
        <v>2910</v>
      </c>
      <c r="Q211" s="5" t="s">
        <v>2911</v>
      </c>
      <c r="R211" s="5" t="s">
        <v>2912</v>
      </c>
      <c r="S211" s="7"/>
      <c r="T211" s="5"/>
      <c r="U211" s="5"/>
      <c r="V211" s="5"/>
      <c r="W211" s="5"/>
      <c r="X211" s="5" t="s">
        <v>2913</v>
      </c>
      <c r="Y211" s="5"/>
      <c r="Z211" s="5"/>
      <c r="AA211" s="5" t="s">
        <v>2914</v>
      </c>
      <c r="AB211" s="5" t="s">
        <v>2915</v>
      </c>
      <c r="AC211" s="5" t="s">
        <v>164</v>
      </c>
      <c r="AD211" s="5" t="s">
        <v>2916</v>
      </c>
      <c r="AE211" s="5">
        <v>1</v>
      </c>
      <c r="AF211" s="5" t="s">
        <v>2917</v>
      </c>
      <c r="AG211" s="5">
        <v>1949</v>
      </c>
      <c r="AH211" s="8" t="s">
        <v>3233</v>
      </c>
      <c r="AI211" s="5">
        <v>31735066267927</v>
      </c>
    </row>
    <row r="212" spans="1:35" ht="102" x14ac:dyDescent="0.4">
      <c r="A212" s="4">
        <v>4</v>
      </c>
      <c r="B212" s="5">
        <v>192</v>
      </c>
      <c r="C212" s="5" t="s">
        <v>95</v>
      </c>
      <c r="D212" s="5" t="s">
        <v>96</v>
      </c>
      <c r="E212" s="5" t="s">
        <v>2879</v>
      </c>
      <c r="F212" s="5" t="s">
        <v>1560</v>
      </c>
      <c r="G212" s="5" t="s">
        <v>2918</v>
      </c>
      <c r="H212" s="4">
        <v>1949</v>
      </c>
      <c r="I212" s="5" t="s">
        <v>2919</v>
      </c>
      <c r="J212" s="5" t="s">
        <v>41</v>
      </c>
      <c r="K212" s="5" t="s">
        <v>2920</v>
      </c>
      <c r="L212" s="5" t="s">
        <v>2921</v>
      </c>
      <c r="M212" s="5" t="s">
        <v>2663</v>
      </c>
      <c r="N212" s="5" t="s">
        <v>2922</v>
      </c>
      <c r="O212" s="5" t="s">
        <v>83</v>
      </c>
      <c r="P212" s="5" t="s">
        <v>83</v>
      </c>
      <c r="Q212" s="5" t="s">
        <v>2923</v>
      </c>
      <c r="R212" s="5" t="s">
        <v>2924</v>
      </c>
      <c r="S212" s="7">
        <v>30</v>
      </c>
      <c r="T212" s="5" t="s">
        <v>634</v>
      </c>
      <c r="U212" s="5" t="s">
        <v>2925</v>
      </c>
      <c r="V212" s="5" t="s">
        <v>2926</v>
      </c>
      <c r="W212" s="5" t="s">
        <v>2927</v>
      </c>
      <c r="X212" s="5" t="s">
        <v>2928</v>
      </c>
      <c r="Y212" s="5" t="s">
        <v>2929</v>
      </c>
      <c r="Z212" s="5" t="s">
        <v>2930</v>
      </c>
      <c r="AA212" s="5" t="s">
        <v>2931</v>
      </c>
      <c r="AB212" s="5" t="s">
        <v>2932</v>
      </c>
      <c r="AC212" s="5" t="s">
        <v>50</v>
      </c>
      <c r="AD212" s="5" t="s">
        <v>2933</v>
      </c>
      <c r="AE212" s="5">
        <v>3</v>
      </c>
      <c r="AF212" s="5" t="s">
        <v>2934</v>
      </c>
      <c r="AG212" s="5" t="s">
        <v>2935</v>
      </c>
      <c r="AH212" s="8" t="s">
        <v>3233</v>
      </c>
      <c r="AI212" s="5">
        <v>31735066267679</v>
      </c>
    </row>
    <row r="213" spans="1:35" ht="102" x14ac:dyDescent="0.4">
      <c r="A213" s="4">
        <v>4</v>
      </c>
      <c r="B213" s="5">
        <v>193</v>
      </c>
      <c r="C213" s="5" t="s">
        <v>95</v>
      </c>
      <c r="D213" s="5" t="s">
        <v>2936</v>
      </c>
      <c r="E213" s="5" t="s">
        <v>2879</v>
      </c>
      <c r="F213" s="5" t="s">
        <v>1560</v>
      </c>
      <c r="G213" s="5" t="s">
        <v>2937</v>
      </c>
      <c r="H213" s="4">
        <v>1949</v>
      </c>
      <c r="I213" s="5" t="s">
        <v>2938</v>
      </c>
      <c r="J213" s="5" t="s">
        <v>41</v>
      </c>
      <c r="K213" s="5" t="s">
        <v>2939</v>
      </c>
      <c r="L213" s="5" t="s">
        <v>2940</v>
      </c>
      <c r="M213" s="5" t="s">
        <v>2663</v>
      </c>
      <c r="N213" s="5" t="s">
        <v>2941</v>
      </c>
      <c r="O213" s="5" t="s">
        <v>83</v>
      </c>
      <c r="P213" s="5" t="s">
        <v>83</v>
      </c>
      <c r="Q213" s="5" t="s">
        <v>2942</v>
      </c>
      <c r="R213" s="5" t="s">
        <v>2943</v>
      </c>
      <c r="S213" s="7">
        <v>0.7</v>
      </c>
      <c r="T213" s="5" t="s">
        <v>2944</v>
      </c>
      <c r="U213" s="5" t="s">
        <v>2945</v>
      </c>
      <c r="V213" s="5" t="s">
        <v>2946</v>
      </c>
      <c r="W213" s="5" t="s">
        <v>2947</v>
      </c>
      <c r="X213" s="5" t="s">
        <v>2948</v>
      </c>
      <c r="Y213" s="5" t="s">
        <v>2949</v>
      </c>
      <c r="Z213" s="5" t="s">
        <v>2950</v>
      </c>
      <c r="AA213" s="5" t="s">
        <v>2951</v>
      </c>
      <c r="AB213" s="5" t="s">
        <v>2952</v>
      </c>
      <c r="AC213" s="5" t="s">
        <v>50</v>
      </c>
      <c r="AD213" s="5" t="s">
        <v>2953</v>
      </c>
      <c r="AE213" s="5">
        <v>3</v>
      </c>
      <c r="AF213" s="5" t="s">
        <v>2954</v>
      </c>
      <c r="AG213" s="5" t="s">
        <v>2935</v>
      </c>
      <c r="AH213" s="8" t="s">
        <v>3233</v>
      </c>
      <c r="AI213" s="5">
        <v>31735066267794</v>
      </c>
    </row>
    <row r="214" spans="1:35" ht="51" x14ac:dyDescent="0.4">
      <c r="A214" s="4">
        <v>4</v>
      </c>
      <c r="B214" s="5">
        <v>194</v>
      </c>
      <c r="C214" s="5" t="s">
        <v>2500</v>
      </c>
      <c r="D214" s="5" t="s">
        <v>2955</v>
      </c>
      <c r="E214" s="5" t="s">
        <v>2879</v>
      </c>
      <c r="F214" s="5" t="s">
        <v>2956</v>
      </c>
      <c r="G214" s="5" t="s">
        <v>2957</v>
      </c>
      <c r="H214" s="4">
        <v>1951</v>
      </c>
      <c r="I214" s="5" t="s">
        <v>2958</v>
      </c>
      <c r="J214" s="5" t="s">
        <v>2959</v>
      </c>
      <c r="K214" s="5" t="s">
        <v>2960</v>
      </c>
      <c r="L214" s="5"/>
      <c r="M214" s="5" t="s">
        <v>2961</v>
      </c>
      <c r="N214" s="5" t="s">
        <v>2962</v>
      </c>
      <c r="O214" s="5" t="s">
        <v>45</v>
      </c>
      <c r="P214" s="5" t="s">
        <v>2963</v>
      </c>
      <c r="Q214" s="5" t="s">
        <v>2964</v>
      </c>
      <c r="R214" s="5"/>
      <c r="S214" s="7"/>
      <c r="T214" s="5"/>
      <c r="U214" s="5"/>
      <c r="V214" s="5"/>
      <c r="W214" s="5"/>
      <c r="X214" s="5" t="s">
        <v>2965</v>
      </c>
      <c r="Y214" s="5"/>
      <c r="Z214" s="5"/>
      <c r="AA214" s="5" t="s">
        <v>2966</v>
      </c>
      <c r="AB214" s="5"/>
      <c r="AC214" s="5" t="s">
        <v>50</v>
      </c>
      <c r="AD214" s="5" t="s">
        <v>2967</v>
      </c>
      <c r="AE214" s="5">
        <v>1</v>
      </c>
      <c r="AF214" s="5" t="s">
        <v>2968</v>
      </c>
      <c r="AG214" s="5">
        <v>1951</v>
      </c>
      <c r="AH214" s="8" t="s">
        <v>3233</v>
      </c>
      <c r="AI214" s="5">
        <v>31735066267455</v>
      </c>
    </row>
    <row r="215" spans="1:35" ht="51" x14ac:dyDescent="0.4">
      <c r="A215" s="4">
        <v>4</v>
      </c>
      <c r="B215" s="5">
        <v>195</v>
      </c>
      <c r="C215" s="5" t="s">
        <v>2500</v>
      </c>
      <c r="D215" s="5" t="s">
        <v>2955</v>
      </c>
      <c r="E215" s="5" t="s">
        <v>2879</v>
      </c>
      <c r="F215" s="5" t="s">
        <v>2956</v>
      </c>
      <c r="G215" s="5" t="s">
        <v>2969</v>
      </c>
      <c r="H215" s="4">
        <v>1951</v>
      </c>
      <c r="I215" s="5" t="s">
        <v>2970</v>
      </c>
      <c r="J215" s="5" t="s">
        <v>41</v>
      </c>
      <c r="K215" s="5" t="s">
        <v>2971</v>
      </c>
      <c r="L215" s="5"/>
      <c r="M215" s="5" t="s">
        <v>735</v>
      </c>
      <c r="N215" s="5" t="s">
        <v>2972</v>
      </c>
      <c r="O215" s="5" t="s">
        <v>45</v>
      </c>
      <c r="P215" s="5" t="s">
        <v>2973</v>
      </c>
      <c r="Q215" s="5" t="s">
        <v>2974</v>
      </c>
      <c r="R215" s="5"/>
      <c r="S215" s="7"/>
      <c r="T215" s="5"/>
      <c r="U215" s="5"/>
      <c r="V215" s="5"/>
      <c r="W215" s="5"/>
      <c r="X215" s="5" t="s">
        <v>2975</v>
      </c>
      <c r="Y215" s="5"/>
      <c r="Z215" s="5"/>
      <c r="AA215" s="5" t="s">
        <v>2976</v>
      </c>
      <c r="AB215" s="5"/>
      <c r="AC215" s="5" t="s">
        <v>50</v>
      </c>
      <c r="AD215" s="5" t="s">
        <v>2977</v>
      </c>
      <c r="AE215" s="5">
        <v>1</v>
      </c>
      <c r="AF215" s="5" t="s">
        <v>2978</v>
      </c>
      <c r="AG215" s="5">
        <v>1951</v>
      </c>
      <c r="AH215" s="8" t="s">
        <v>3233</v>
      </c>
      <c r="AI215" s="5">
        <v>31735066267877</v>
      </c>
    </row>
    <row r="216" spans="1:35" ht="63.75" x14ac:dyDescent="0.4">
      <c r="A216" s="4">
        <v>4</v>
      </c>
      <c r="B216" s="5" t="s">
        <v>2979</v>
      </c>
      <c r="C216" s="5" t="s">
        <v>35</v>
      </c>
      <c r="D216" s="5" t="s">
        <v>2980</v>
      </c>
      <c r="E216" s="5" t="s">
        <v>2879</v>
      </c>
      <c r="F216" s="5" t="s">
        <v>2956</v>
      </c>
      <c r="G216" s="5" t="s">
        <v>2981</v>
      </c>
      <c r="H216" s="4">
        <v>1951</v>
      </c>
      <c r="I216" s="5" t="s">
        <v>2982</v>
      </c>
      <c r="J216" s="5" t="s">
        <v>41</v>
      </c>
      <c r="K216" s="5" t="s">
        <v>2983</v>
      </c>
      <c r="L216" s="5" t="s">
        <v>2984</v>
      </c>
      <c r="M216" s="5" t="s">
        <v>735</v>
      </c>
      <c r="N216" s="5" t="s">
        <v>2985</v>
      </c>
      <c r="O216" s="5" t="s">
        <v>83</v>
      </c>
      <c r="P216" s="5" t="s">
        <v>83</v>
      </c>
      <c r="Q216" s="5" t="s">
        <v>2986</v>
      </c>
      <c r="R216" s="5"/>
      <c r="S216" s="7"/>
      <c r="T216" s="5"/>
      <c r="U216" s="5"/>
      <c r="V216" s="5"/>
      <c r="W216" s="5"/>
      <c r="X216" s="5" t="s">
        <v>2987</v>
      </c>
      <c r="Y216" s="5"/>
      <c r="Z216" s="5"/>
      <c r="AA216" s="5" t="s">
        <v>2988</v>
      </c>
      <c r="AB216" s="5" t="s">
        <v>2989</v>
      </c>
      <c r="AC216" s="5" t="s">
        <v>164</v>
      </c>
      <c r="AD216" s="6" t="s">
        <v>2990</v>
      </c>
      <c r="AE216" s="5">
        <v>1</v>
      </c>
      <c r="AF216" s="5" t="s">
        <v>2991</v>
      </c>
      <c r="AG216" s="5">
        <v>1951</v>
      </c>
      <c r="AH216" s="8" t="s">
        <v>3233</v>
      </c>
      <c r="AI216" s="5">
        <v>31735068223472</v>
      </c>
    </row>
    <row r="217" spans="1:35" ht="51" x14ac:dyDescent="0.4">
      <c r="A217" s="4">
        <v>4</v>
      </c>
      <c r="B217" s="5">
        <v>196</v>
      </c>
      <c r="C217" s="5" t="s">
        <v>2500</v>
      </c>
      <c r="D217" s="5" t="s">
        <v>2955</v>
      </c>
      <c r="E217" s="5" t="s">
        <v>2879</v>
      </c>
      <c r="F217" s="5" t="s">
        <v>2956</v>
      </c>
      <c r="G217" s="5" t="s">
        <v>2992</v>
      </c>
      <c r="H217" s="4">
        <v>1952</v>
      </c>
      <c r="I217" s="5" t="s">
        <v>2993</v>
      </c>
      <c r="J217" s="5" t="s">
        <v>2959</v>
      </c>
      <c r="K217" s="5" t="s">
        <v>2994</v>
      </c>
      <c r="L217" s="5"/>
      <c r="M217" s="5" t="s">
        <v>1876</v>
      </c>
      <c r="N217" s="5" t="s">
        <v>2995</v>
      </c>
      <c r="O217" s="5" t="s">
        <v>45</v>
      </c>
      <c r="P217" s="5" t="s">
        <v>2963</v>
      </c>
      <c r="Q217" s="5" t="s">
        <v>2996</v>
      </c>
      <c r="R217" s="5"/>
      <c r="S217" s="7"/>
      <c r="T217" s="5"/>
      <c r="U217" s="5"/>
      <c r="V217" s="5"/>
      <c r="W217" s="5"/>
      <c r="X217" s="5" t="s">
        <v>2997</v>
      </c>
      <c r="Y217" s="5"/>
      <c r="Z217" s="5"/>
      <c r="AA217" s="5" t="s">
        <v>2998</v>
      </c>
      <c r="AB217" s="5"/>
      <c r="AC217" s="5" t="s">
        <v>50</v>
      </c>
      <c r="AD217" s="5" t="s">
        <v>2999</v>
      </c>
      <c r="AE217" s="5">
        <v>1</v>
      </c>
      <c r="AF217" s="5" t="s">
        <v>3000</v>
      </c>
      <c r="AG217" s="5">
        <v>1952</v>
      </c>
      <c r="AH217" s="8" t="s">
        <v>3233</v>
      </c>
      <c r="AI217" s="5">
        <v>31735066266754</v>
      </c>
    </row>
    <row r="218" spans="1:35" ht="63.75" x14ac:dyDescent="0.4">
      <c r="A218" s="4">
        <v>4</v>
      </c>
      <c r="B218" s="5">
        <v>197</v>
      </c>
      <c r="C218" s="5" t="s">
        <v>2500</v>
      </c>
      <c r="D218" s="5" t="s">
        <v>2955</v>
      </c>
      <c r="E218" s="5" t="s">
        <v>2879</v>
      </c>
      <c r="F218" s="5" t="s">
        <v>2956</v>
      </c>
      <c r="G218" s="5" t="s">
        <v>3001</v>
      </c>
      <c r="H218" s="4">
        <v>1952</v>
      </c>
      <c r="I218" s="5" t="s">
        <v>3002</v>
      </c>
      <c r="J218" s="5" t="s">
        <v>2959</v>
      </c>
      <c r="K218" s="5" t="s">
        <v>3003</v>
      </c>
      <c r="L218" s="5"/>
      <c r="M218" s="5" t="s">
        <v>1876</v>
      </c>
      <c r="N218" s="5" t="s">
        <v>3004</v>
      </c>
      <c r="O218" s="5" t="s">
        <v>45</v>
      </c>
      <c r="P218" s="5" t="s">
        <v>3005</v>
      </c>
      <c r="Q218" s="5" t="s">
        <v>3006</v>
      </c>
      <c r="R218" s="5"/>
      <c r="S218" s="7"/>
      <c r="T218" s="5"/>
      <c r="U218" s="5"/>
      <c r="V218" s="5"/>
      <c r="W218" s="5"/>
      <c r="X218" s="5" t="s">
        <v>3007</v>
      </c>
      <c r="Y218" s="5"/>
      <c r="Z218" s="5"/>
      <c r="AA218" s="5" t="s">
        <v>3008</v>
      </c>
      <c r="AB218" s="5"/>
      <c r="AC218" s="5" t="s">
        <v>50</v>
      </c>
      <c r="AD218" s="5" t="s">
        <v>3009</v>
      </c>
      <c r="AE218" s="5">
        <v>1</v>
      </c>
      <c r="AF218" s="5" t="s">
        <v>3010</v>
      </c>
      <c r="AG218" s="5">
        <v>1952</v>
      </c>
      <c r="AH218" s="8" t="s">
        <v>3233</v>
      </c>
      <c r="AI218" s="5">
        <v>31735066267422</v>
      </c>
    </row>
    <row r="219" spans="1:35" ht="102" x14ac:dyDescent="0.4">
      <c r="A219" s="4">
        <v>4</v>
      </c>
      <c r="B219" s="5">
        <v>198</v>
      </c>
      <c r="C219" s="5" t="s">
        <v>95</v>
      </c>
      <c r="D219" s="5" t="s">
        <v>96</v>
      </c>
      <c r="E219" s="5" t="s">
        <v>2879</v>
      </c>
      <c r="F219" s="5" t="s">
        <v>2956</v>
      </c>
      <c r="G219" s="5" t="s">
        <v>3011</v>
      </c>
      <c r="H219" s="4">
        <v>1952</v>
      </c>
      <c r="I219" s="5" t="s">
        <v>3012</v>
      </c>
      <c r="J219" s="5" t="s">
        <v>41</v>
      </c>
      <c r="K219" s="5" t="s">
        <v>3013</v>
      </c>
      <c r="L219" s="5" t="s">
        <v>3014</v>
      </c>
      <c r="M219" s="5" t="s">
        <v>2663</v>
      </c>
      <c r="N219" s="5" t="s">
        <v>3015</v>
      </c>
      <c r="O219" s="5" t="s">
        <v>340</v>
      </c>
      <c r="P219" s="5" t="s">
        <v>340</v>
      </c>
      <c r="Q219" s="5" t="s">
        <v>3016</v>
      </c>
      <c r="R219" s="5" t="s">
        <v>3017</v>
      </c>
      <c r="S219" s="7">
        <v>900000</v>
      </c>
      <c r="T219" s="5" t="s">
        <v>3018</v>
      </c>
      <c r="U219" s="5" t="s">
        <v>3019</v>
      </c>
      <c r="V219" s="5" t="s">
        <v>3020</v>
      </c>
      <c r="W219" s="5" t="s">
        <v>3021</v>
      </c>
      <c r="X219" s="5" t="s">
        <v>3022</v>
      </c>
      <c r="Y219" s="5" t="s">
        <v>3023</v>
      </c>
      <c r="Z219" s="5" t="s">
        <v>3024</v>
      </c>
      <c r="AA219" s="5" t="s">
        <v>3025</v>
      </c>
      <c r="AB219" s="5" t="s">
        <v>3026</v>
      </c>
      <c r="AC219" s="5" t="s">
        <v>164</v>
      </c>
      <c r="AD219" s="5" t="s">
        <v>3027</v>
      </c>
      <c r="AE219" s="5">
        <v>3</v>
      </c>
      <c r="AF219" s="5" t="s">
        <v>3028</v>
      </c>
      <c r="AG219" s="5">
        <v>1952</v>
      </c>
      <c r="AH219" s="8" t="s">
        <v>3233</v>
      </c>
      <c r="AI219" s="5">
        <v>31735066267745</v>
      </c>
    </row>
    <row r="220" spans="1:35" ht="76.5" x14ac:dyDescent="0.4">
      <c r="A220" s="4">
        <v>4</v>
      </c>
      <c r="B220" s="5">
        <v>199</v>
      </c>
      <c r="C220" s="5" t="s">
        <v>95</v>
      </c>
      <c r="D220" s="5" t="s">
        <v>96</v>
      </c>
      <c r="E220" s="5" t="s">
        <v>2879</v>
      </c>
      <c r="F220" s="5" t="s">
        <v>1560</v>
      </c>
      <c r="G220" s="5" t="s">
        <v>3029</v>
      </c>
      <c r="H220" s="4">
        <v>1949</v>
      </c>
      <c r="I220" s="5" t="s">
        <v>3030</v>
      </c>
      <c r="J220" s="5" t="s">
        <v>41</v>
      </c>
      <c r="K220" s="5" t="s">
        <v>3031</v>
      </c>
      <c r="L220" s="5" t="s">
        <v>3032</v>
      </c>
      <c r="M220" s="5" t="s">
        <v>2663</v>
      </c>
      <c r="N220" s="5" t="s">
        <v>3033</v>
      </c>
      <c r="O220" s="5" t="s">
        <v>83</v>
      </c>
      <c r="P220" s="5" t="s">
        <v>83</v>
      </c>
      <c r="Q220" s="5" t="s">
        <v>3034</v>
      </c>
      <c r="R220" s="5" t="s">
        <v>3035</v>
      </c>
      <c r="S220" s="7">
        <v>1.7</v>
      </c>
      <c r="T220" s="5" t="s">
        <v>2944</v>
      </c>
      <c r="U220" s="5" t="s">
        <v>3036</v>
      </c>
      <c r="V220" s="5" t="s">
        <v>3037</v>
      </c>
      <c r="W220" s="5" t="s">
        <v>3038</v>
      </c>
      <c r="X220" s="5" t="s">
        <v>3039</v>
      </c>
      <c r="Y220" s="5" t="s">
        <v>3040</v>
      </c>
      <c r="Z220" s="5" t="s">
        <v>3041</v>
      </c>
      <c r="AA220" s="5" t="s">
        <v>3042</v>
      </c>
      <c r="AB220" s="5" t="s">
        <v>3043</v>
      </c>
      <c r="AC220" s="5" t="s">
        <v>164</v>
      </c>
      <c r="AD220" s="5" t="s">
        <v>3044</v>
      </c>
      <c r="AE220" s="5">
        <v>2</v>
      </c>
      <c r="AF220" s="5" t="s">
        <v>3045</v>
      </c>
      <c r="AG220" s="5">
        <v>1952</v>
      </c>
      <c r="AH220" s="8" t="s">
        <v>3233</v>
      </c>
      <c r="AI220" s="5">
        <v>31735066267752</v>
      </c>
    </row>
    <row r="221" spans="1:35" ht="51" x14ac:dyDescent="0.4">
      <c r="A221" s="4">
        <v>4</v>
      </c>
      <c r="B221" s="5">
        <v>200</v>
      </c>
      <c r="C221" s="5" t="s">
        <v>2500</v>
      </c>
      <c r="D221" s="5" t="s">
        <v>2955</v>
      </c>
      <c r="E221" s="5" t="s">
        <v>2879</v>
      </c>
      <c r="F221" s="5" t="s">
        <v>2956</v>
      </c>
      <c r="G221" s="5" t="s">
        <v>3046</v>
      </c>
      <c r="H221" s="4">
        <v>1952</v>
      </c>
      <c r="I221" s="5" t="s">
        <v>3047</v>
      </c>
      <c r="J221" s="5" t="s">
        <v>61</v>
      </c>
      <c r="K221" s="5" t="s">
        <v>3048</v>
      </c>
      <c r="L221" s="5"/>
      <c r="M221" s="5" t="s">
        <v>2961</v>
      </c>
      <c r="N221" s="5" t="s">
        <v>3049</v>
      </c>
      <c r="O221" s="5" t="s">
        <v>83</v>
      </c>
      <c r="P221" s="5" t="s">
        <v>3050</v>
      </c>
      <c r="Q221" s="5" t="s">
        <v>3051</v>
      </c>
      <c r="R221" s="5"/>
      <c r="S221" s="7"/>
      <c r="T221" s="5"/>
      <c r="U221" s="5"/>
      <c r="V221" s="5"/>
      <c r="W221" s="5"/>
      <c r="X221" s="5" t="s">
        <v>3052</v>
      </c>
      <c r="Y221" s="5"/>
      <c r="Z221" s="5"/>
      <c r="AA221" s="5" t="s">
        <v>3053</v>
      </c>
      <c r="AB221" s="5"/>
      <c r="AC221" s="5" t="s">
        <v>50</v>
      </c>
      <c r="AD221" s="5" t="s">
        <v>3054</v>
      </c>
      <c r="AE221" s="5">
        <v>1</v>
      </c>
      <c r="AF221" s="5" t="s">
        <v>3055</v>
      </c>
      <c r="AG221" s="5">
        <v>1952</v>
      </c>
      <c r="AH221" s="8" t="s">
        <v>3233</v>
      </c>
      <c r="AI221" s="5">
        <v>31735066267463</v>
      </c>
    </row>
    <row r="222" spans="1:35" ht="76.5" x14ac:dyDescent="0.4">
      <c r="A222" s="4">
        <v>4</v>
      </c>
      <c r="B222" s="5">
        <v>201</v>
      </c>
      <c r="C222" s="5" t="s">
        <v>2500</v>
      </c>
      <c r="D222" s="5" t="s">
        <v>2955</v>
      </c>
      <c r="E222" s="5" t="s">
        <v>2879</v>
      </c>
      <c r="F222" s="5" t="s">
        <v>2956</v>
      </c>
      <c r="G222" s="5" t="s">
        <v>3056</v>
      </c>
      <c r="H222" s="4">
        <v>1952</v>
      </c>
      <c r="I222" s="5" t="s">
        <v>3057</v>
      </c>
      <c r="J222" s="5" t="s">
        <v>2959</v>
      </c>
      <c r="K222" s="5" t="s">
        <v>3058</v>
      </c>
      <c r="L222" s="5"/>
      <c r="M222" s="5" t="s">
        <v>3059</v>
      </c>
      <c r="N222" s="5" t="s">
        <v>3060</v>
      </c>
      <c r="O222" s="5" t="s">
        <v>45</v>
      </c>
      <c r="P222" s="5" t="s">
        <v>3061</v>
      </c>
      <c r="Q222" s="5" t="s">
        <v>3062</v>
      </c>
      <c r="R222" s="5"/>
      <c r="S222" s="7"/>
      <c r="T222" s="5"/>
      <c r="U222" s="5"/>
      <c r="V222" s="5"/>
      <c r="W222" s="5"/>
      <c r="X222" s="5" t="s">
        <v>3063</v>
      </c>
      <c r="Y222" s="5"/>
      <c r="Z222" s="5"/>
      <c r="AA222" s="5" t="s">
        <v>3064</v>
      </c>
      <c r="AB222" s="5"/>
      <c r="AC222" s="5" t="s">
        <v>50</v>
      </c>
      <c r="AD222" s="5" t="s">
        <v>3065</v>
      </c>
      <c r="AE222" s="5">
        <v>1</v>
      </c>
      <c r="AF222" s="5" t="s">
        <v>3066</v>
      </c>
      <c r="AG222" s="5">
        <v>1952</v>
      </c>
      <c r="AH222" s="8" t="s">
        <v>3233</v>
      </c>
      <c r="AI222" s="5">
        <v>31735066267612</v>
      </c>
    </row>
    <row r="223" spans="1:35" ht="63.75" x14ac:dyDescent="0.4">
      <c r="A223" s="4">
        <v>4</v>
      </c>
      <c r="B223" s="5">
        <v>202</v>
      </c>
      <c r="C223" s="5" t="s">
        <v>2500</v>
      </c>
      <c r="D223" s="5" t="s">
        <v>2955</v>
      </c>
      <c r="E223" s="5" t="s">
        <v>2879</v>
      </c>
      <c r="F223" s="5" t="s">
        <v>2956</v>
      </c>
      <c r="G223" s="5" t="s">
        <v>3067</v>
      </c>
      <c r="H223" s="4">
        <v>1953</v>
      </c>
      <c r="I223" s="5" t="s">
        <v>3068</v>
      </c>
      <c r="J223" s="5" t="s">
        <v>2959</v>
      </c>
      <c r="K223" s="5" t="s">
        <v>3069</v>
      </c>
      <c r="L223" s="5"/>
      <c r="M223" s="5" t="s">
        <v>3070</v>
      </c>
      <c r="N223" s="5" t="s">
        <v>3071</v>
      </c>
      <c r="O223" s="5" t="s">
        <v>45</v>
      </c>
      <c r="P223" s="5" t="s">
        <v>3072</v>
      </c>
      <c r="Q223" s="5" t="s">
        <v>3073</v>
      </c>
      <c r="R223" s="5"/>
      <c r="S223" s="7"/>
      <c r="T223" s="5"/>
      <c r="U223" s="5"/>
      <c r="V223" s="5"/>
      <c r="W223" s="5"/>
      <c r="X223" s="5" t="s">
        <v>3074</v>
      </c>
      <c r="Y223" s="5"/>
      <c r="Z223" s="5"/>
      <c r="AA223" s="5" t="s">
        <v>3075</v>
      </c>
      <c r="AB223" s="5" t="s">
        <v>3076</v>
      </c>
      <c r="AC223" s="5" t="s">
        <v>50</v>
      </c>
      <c r="AD223" s="5" t="s">
        <v>3077</v>
      </c>
      <c r="AE223" s="5">
        <v>1</v>
      </c>
      <c r="AF223" s="5" t="s">
        <v>3078</v>
      </c>
      <c r="AG223" s="5">
        <v>1953</v>
      </c>
      <c r="AH223" s="8" t="s">
        <v>3233</v>
      </c>
      <c r="AI223" s="5">
        <v>31735066267414</v>
      </c>
    </row>
    <row r="224" spans="1:35" ht="102" x14ac:dyDescent="0.4">
      <c r="A224" s="4">
        <v>4</v>
      </c>
      <c r="B224" s="5">
        <v>203</v>
      </c>
      <c r="C224" s="5" t="s">
        <v>53</v>
      </c>
      <c r="D224" s="5" t="s">
        <v>54</v>
      </c>
      <c r="E224" s="5" t="s">
        <v>2879</v>
      </c>
      <c r="F224" s="5" t="s">
        <v>2956</v>
      </c>
      <c r="G224" s="5" t="s">
        <v>3079</v>
      </c>
      <c r="H224" s="4">
        <v>1953</v>
      </c>
      <c r="I224" s="5" t="s">
        <v>3080</v>
      </c>
      <c r="J224" s="5" t="s">
        <v>61</v>
      </c>
      <c r="K224" s="5" t="s">
        <v>3081</v>
      </c>
      <c r="L224" s="5" t="s">
        <v>3082</v>
      </c>
      <c r="M224" s="5" t="s">
        <v>1876</v>
      </c>
      <c r="N224" s="5" t="s">
        <v>3083</v>
      </c>
      <c r="O224" s="5" t="s">
        <v>45</v>
      </c>
      <c r="P224" s="5" t="s">
        <v>45</v>
      </c>
      <c r="Q224" s="5" t="s">
        <v>3084</v>
      </c>
      <c r="R224" s="5" t="s">
        <v>3085</v>
      </c>
      <c r="S224" s="7">
        <v>230000</v>
      </c>
      <c r="T224" s="5" t="s">
        <v>3018</v>
      </c>
      <c r="U224" s="5" t="s">
        <v>3086</v>
      </c>
      <c r="V224" s="5" t="s">
        <v>3087</v>
      </c>
      <c r="W224" s="5" t="s">
        <v>3088</v>
      </c>
      <c r="X224" s="5" t="s">
        <v>3089</v>
      </c>
      <c r="Y224" s="5"/>
      <c r="Z224" s="5" t="s">
        <v>3090</v>
      </c>
      <c r="AA224" s="5" t="s">
        <v>3091</v>
      </c>
      <c r="AB224" s="5"/>
      <c r="AC224" s="5" t="s">
        <v>50</v>
      </c>
      <c r="AD224" s="5" t="s">
        <v>3092</v>
      </c>
      <c r="AE224" s="5">
        <v>3</v>
      </c>
      <c r="AF224" s="5" t="s">
        <v>3093</v>
      </c>
      <c r="AG224" s="5">
        <v>1953</v>
      </c>
      <c r="AH224" s="8" t="s">
        <v>3233</v>
      </c>
      <c r="AI224" s="5">
        <v>31735066267430</v>
      </c>
    </row>
    <row r="225" spans="1:35" ht="102" x14ac:dyDescent="0.4">
      <c r="A225" s="4">
        <v>4</v>
      </c>
      <c r="B225" s="5">
        <v>204</v>
      </c>
      <c r="C225" s="5" t="s">
        <v>95</v>
      </c>
      <c r="D225" s="5" t="s">
        <v>96</v>
      </c>
      <c r="E225" s="5" t="s">
        <v>2879</v>
      </c>
      <c r="F225" s="5" t="s">
        <v>2956</v>
      </c>
      <c r="G225" s="5" t="s">
        <v>3094</v>
      </c>
      <c r="H225" s="4">
        <v>1953</v>
      </c>
      <c r="I225" s="5" t="s">
        <v>3095</v>
      </c>
      <c r="J225" s="5" t="s">
        <v>41</v>
      </c>
      <c r="K225" s="5" t="s">
        <v>3096</v>
      </c>
      <c r="L225" s="5" t="s">
        <v>3097</v>
      </c>
      <c r="M225" s="5" t="s">
        <v>2663</v>
      </c>
      <c r="N225" s="5" t="s">
        <v>3098</v>
      </c>
      <c r="O225" s="5" t="s">
        <v>83</v>
      </c>
      <c r="P225" s="5" t="s">
        <v>83</v>
      </c>
      <c r="Q225" s="5" t="s">
        <v>3099</v>
      </c>
      <c r="R225" s="5" t="s">
        <v>3100</v>
      </c>
      <c r="S225" s="7">
        <v>1600000</v>
      </c>
      <c r="T225" s="5" t="s">
        <v>3018</v>
      </c>
      <c r="U225" s="5" t="s">
        <v>3101</v>
      </c>
      <c r="V225" s="5" t="s">
        <v>3102</v>
      </c>
      <c r="W225" s="5" t="s">
        <v>3103</v>
      </c>
      <c r="X225" s="5" t="s">
        <v>3104</v>
      </c>
      <c r="Y225" s="5" t="s">
        <v>3105</v>
      </c>
      <c r="Z225" s="5" t="s">
        <v>3106</v>
      </c>
      <c r="AA225" s="5" t="s">
        <v>3107</v>
      </c>
      <c r="AB225" s="5" t="s">
        <v>3108</v>
      </c>
      <c r="AC225" s="5" t="s">
        <v>164</v>
      </c>
      <c r="AD225" s="5" t="s">
        <v>3109</v>
      </c>
      <c r="AE225" s="5">
        <v>3</v>
      </c>
      <c r="AF225" s="5" t="s">
        <v>3110</v>
      </c>
      <c r="AG225" s="5">
        <v>1953</v>
      </c>
      <c r="AH225" s="8" t="s">
        <v>3233</v>
      </c>
      <c r="AI225" s="5">
        <v>31735066267497</v>
      </c>
    </row>
    <row r="226" spans="1:35" ht="102" x14ac:dyDescent="0.4">
      <c r="A226" s="4">
        <v>4</v>
      </c>
      <c r="B226" s="5">
        <v>205</v>
      </c>
      <c r="C226" s="5" t="s">
        <v>53</v>
      </c>
      <c r="D226" s="5" t="s">
        <v>54</v>
      </c>
      <c r="E226" s="5" t="s">
        <v>2879</v>
      </c>
      <c r="F226" s="5" t="s">
        <v>2956</v>
      </c>
      <c r="G226" s="5" t="s">
        <v>3111</v>
      </c>
      <c r="H226" s="4">
        <v>1953</v>
      </c>
      <c r="I226" s="5" t="s">
        <v>3080</v>
      </c>
      <c r="J226" s="5" t="s">
        <v>61</v>
      </c>
      <c r="K226" s="5" t="s">
        <v>3081</v>
      </c>
      <c r="L226" s="5" t="s">
        <v>3082</v>
      </c>
      <c r="M226" s="5" t="s">
        <v>1876</v>
      </c>
      <c r="N226" s="5" t="s">
        <v>3112</v>
      </c>
      <c r="O226" s="5" t="s">
        <v>45</v>
      </c>
      <c r="P226" s="5" t="s">
        <v>45</v>
      </c>
      <c r="Q226" s="5" t="s">
        <v>3113</v>
      </c>
      <c r="R226" s="5" t="s">
        <v>3114</v>
      </c>
      <c r="S226" s="7">
        <v>270000</v>
      </c>
      <c r="T226" s="5" t="s">
        <v>3018</v>
      </c>
      <c r="U226" s="5" t="s">
        <v>3086</v>
      </c>
      <c r="V226" s="5" t="s">
        <v>3115</v>
      </c>
      <c r="W226" s="5" t="s">
        <v>3116</v>
      </c>
      <c r="X226" s="5" t="s">
        <v>3117</v>
      </c>
      <c r="Y226" s="5"/>
      <c r="Z226" s="5" t="s">
        <v>3118</v>
      </c>
      <c r="AA226" s="5" t="s">
        <v>3119</v>
      </c>
      <c r="AB226" s="5"/>
      <c r="AC226" s="5" t="s">
        <v>50</v>
      </c>
      <c r="AD226" s="5" t="s">
        <v>3120</v>
      </c>
      <c r="AE226" s="5">
        <v>3</v>
      </c>
      <c r="AF226" s="5" t="s">
        <v>3093</v>
      </c>
      <c r="AG226" s="5">
        <v>1953</v>
      </c>
      <c r="AH226" s="8" t="s">
        <v>3233</v>
      </c>
      <c r="AI226" s="5">
        <v>31735066267562</v>
      </c>
    </row>
    <row r="227" spans="1:35" ht="76.5" x14ac:dyDescent="0.4">
      <c r="A227" s="4">
        <v>4</v>
      </c>
      <c r="B227" s="5">
        <v>206</v>
      </c>
      <c r="C227" s="5" t="s">
        <v>2500</v>
      </c>
      <c r="D227" s="5" t="s">
        <v>2955</v>
      </c>
      <c r="E227" s="5" t="s">
        <v>2879</v>
      </c>
      <c r="F227" s="5" t="s">
        <v>2956</v>
      </c>
      <c r="G227" s="5" t="s">
        <v>3121</v>
      </c>
      <c r="H227" s="4">
        <v>1953</v>
      </c>
      <c r="I227" s="5" t="s">
        <v>3122</v>
      </c>
      <c r="J227" s="5" t="s">
        <v>2959</v>
      </c>
      <c r="K227" s="5" t="s">
        <v>3123</v>
      </c>
      <c r="L227" s="5"/>
      <c r="M227" s="5" t="s">
        <v>3124</v>
      </c>
      <c r="N227" s="5" t="s">
        <v>3125</v>
      </c>
      <c r="O227" s="5" t="s">
        <v>45</v>
      </c>
      <c r="P227" s="5" t="s">
        <v>3061</v>
      </c>
      <c r="Q227" s="5" t="s">
        <v>3126</v>
      </c>
      <c r="R227" s="5"/>
      <c r="S227" s="7"/>
      <c r="T227" s="5"/>
      <c r="U227" s="5"/>
      <c r="V227" s="5"/>
      <c r="W227" s="5"/>
      <c r="X227" s="5" t="s">
        <v>3127</v>
      </c>
      <c r="Y227" s="5"/>
      <c r="Z227" s="5"/>
      <c r="AA227" s="5" t="s">
        <v>3128</v>
      </c>
      <c r="AB227" s="5"/>
      <c r="AC227" s="5" t="s">
        <v>50</v>
      </c>
      <c r="AD227" s="5" t="s">
        <v>3129</v>
      </c>
      <c r="AE227" s="5">
        <v>1</v>
      </c>
      <c r="AF227" s="5" t="s">
        <v>3130</v>
      </c>
      <c r="AG227" s="5">
        <v>1953</v>
      </c>
      <c r="AH227" s="8" t="s">
        <v>3233</v>
      </c>
      <c r="AI227" s="5">
        <v>31735066267604</v>
      </c>
    </row>
    <row r="228" spans="1:35" ht="63.75" x14ac:dyDescent="0.4">
      <c r="A228" s="4">
        <v>4</v>
      </c>
      <c r="B228" s="5">
        <v>207</v>
      </c>
      <c r="C228" s="5" t="s">
        <v>2500</v>
      </c>
      <c r="D228" s="5" t="s">
        <v>2955</v>
      </c>
      <c r="E228" s="5" t="s">
        <v>2879</v>
      </c>
      <c r="F228" s="5" t="s">
        <v>2956</v>
      </c>
      <c r="G228" s="5" t="s">
        <v>3131</v>
      </c>
      <c r="H228" s="4">
        <v>1952</v>
      </c>
      <c r="I228" s="5" t="s">
        <v>3132</v>
      </c>
      <c r="J228" s="5" t="s">
        <v>2959</v>
      </c>
      <c r="K228" s="5" t="s">
        <v>3133</v>
      </c>
      <c r="L228" s="5"/>
      <c r="M228" s="5" t="s">
        <v>3134</v>
      </c>
      <c r="N228" s="5" t="s">
        <v>3135</v>
      </c>
      <c r="O228" s="5" t="s">
        <v>45</v>
      </c>
      <c r="P228" s="5" t="s">
        <v>3136</v>
      </c>
      <c r="Q228" s="5" t="s">
        <v>3137</v>
      </c>
      <c r="R228" s="5"/>
      <c r="S228" s="7"/>
      <c r="T228" s="5"/>
      <c r="U228" s="5"/>
      <c r="V228" s="5"/>
      <c r="W228" s="5"/>
      <c r="X228" s="5" t="s">
        <v>3138</v>
      </c>
      <c r="Y228" s="5"/>
      <c r="Z228" s="5"/>
      <c r="AA228" s="5" t="s">
        <v>3139</v>
      </c>
      <c r="AB228" s="5" t="s">
        <v>3140</v>
      </c>
      <c r="AC228" s="5" t="s">
        <v>50</v>
      </c>
      <c r="AD228" s="5" t="s">
        <v>3141</v>
      </c>
      <c r="AE228" s="5">
        <v>1</v>
      </c>
      <c r="AF228" s="5" t="s">
        <v>3142</v>
      </c>
      <c r="AG228" s="5">
        <v>1953</v>
      </c>
      <c r="AH228" s="8" t="s">
        <v>3233</v>
      </c>
      <c r="AI228" s="5">
        <v>31735066267661</v>
      </c>
    </row>
    <row r="229" spans="1:35" ht="127.5" x14ac:dyDescent="0.4">
      <c r="A229" s="4">
        <v>4</v>
      </c>
      <c r="B229" s="5">
        <v>208</v>
      </c>
      <c r="C229" s="5" t="s">
        <v>53</v>
      </c>
      <c r="D229" s="5" t="s">
        <v>54</v>
      </c>
      <c r="E229" s="5" t="s">
        <v>2879</v>
      </c>
      <c r="F229" s="5" t="s">
        <v>2956</v>
      </c>
      <c r="G229" s="5" t="s">
        <v>3079</v>
      </c>
      <c r="H229" s="4">
        <v>1953</v>
      </c>
      <c r="I229" s="5" t="s">
        <v>3080</v>
      </c>
      <c r="J229" s="5" t="s">
        <v>61</v>
      </c>
      <c r="K229" s="5" t="s">
        <v>3143</v>
      </c>
      <c r="L229" s="5" t="s">
        <v>3082</v>
      </c>
      <c r="M229" s="5" t="s">
        <v>1876</v>
      </c>
      <c r="N229" s="5" t="s">
        <v>3144</v>
      </c>
      <c r="O229" s="5" t="s">
        <v>45</v>
      </c>
      <c r="P229" s="5" t="s">
        <v>45</v>
      </c>
      <c r="Q229" s="5" t="s">
        <v>3145</v>
      </c>
      <c r="R229" s="5" t="s">
        <v>3146</v>
      </c>
      <c r="S229" s="7">
        <v>280000</v>
      </c>
      <c r="T229" s="5" t="s">
        <v>3018</v>
      </c>
      <c r="U229" s="5" t="s">
        <v>3086</v>
      </c>
      <c r="V229" s="5" t="s">
        <v>3147</v>
      </c>
      <c r="W229" s="5" t="s">
        <v>3116</v>
      </c>
      <c r="X229" s="5" t="s">
        <v>3148</v>
      </c>
      <c r="Y229" s="5"/>
      <c r="Z229" s="5" t="s">
        <v>3149</v>
      </c>
      <c r="AA229" s="5" t="s">
        <v>3150</v>
      </c>
      <c r="AB229" s="5"/>
      <c r="AC229" s="5" t="s">
        <v>50</v>
      </c>
      <c r="AD229" s="5" t="s">
        <v>3151</v>
      </c>
      <c r="AE229" s="5">
        <v>4</v>
      </c>
      <c r="AF229" s="5" t="s">
        <v>3152</v>
      </c>
      <c r="AG229" s="5">
        <v>1953</v>
      </c>
      <c r="AH229" s="8" t="s">
        <v>3233</v>
      </c>
      <c r="AI229" s="5">
        <v>31735066267539</v>
      </c>
    </row>
    <row r="230" spans="1:35" ht="153" x14ac:dyDescent="0.4">
      <c r="A230" s="4">
        <v>4</v>
      </c>
      <c r="B230" s="5">
        <v>209</v>
      </c>
      <c r="C230" s="5" t="s">
        <v>95</v>
      </c>
      <c r="D230" s="5" t="s">
        <v>96</v>
      </c>
      <c r="E230" s="5" t="s">
        <v>2879</v>
      </c>
      <c r="F230" s="5" t="s">
        <v>2956</v>
      </c>
      <c r="G230" s="5" t="s">
        <v>3153</v>
      </c>
      <c r="H230" s="4">
        <v>1954</v>
      </c>
      <c r="I230" s="5" t="s">
        <v>3154</v>
      </c>
      <c r="J230" s="5" t="s">
        <v>41</v>
      </c>
      <c r="K230" s="5" t="s">
        <v>3155</v>
      </c>
      <c r="L230" s="5" t="s">
        <v>3156</v>
      </c>
      <c r="M230" s="5" t="s">
        <v>2663</v>
      </c>
      <c r="N230" s="5" t="s">
        <v>3157</v>
      </c>
      <c r="O230" s="5" t="s">
        <v>83</v>
      </c>
      <c r="P230" s="5" t="s">
        <v>83</v>
      </c>
      <c r="Q230" s="5" t="s">
        <v>3158</v>
      </c>
      <c r="R230" s="5" t="s">
        <v>3159</v>
      </c>
      <c r="S230" s="7">
        <v>800000</v>
      </c>
      <c r="T230" s="5" t="s">
        <v>3018</v>
      </c>
      <c r="U230" s="5"/>
      <c r="V230" s="5" t="s">
        <v>3160</v>
      </c>
      <c r="W230" s="5" t="s">
        <v>3161</v>
      </c>
      <c r="X230" s="5" t="s">
        <v>3162</v>
      </c>
      <c r="Y230" s="5" t="s">
        <v>3163</v>
      </c>
      <c r="Z230" s="5" t="s">
        <v>3164</v>
      </c>
      <c r="AA230" s="5" t="s">
        <v>3165</v>
      </c>
      <c r="AB230" s="5" t="s">
        <v>3166</v>
      </c>
      <c r="AC230" s="5" t="s">
        <v>50</v>
      </c>
      <c r="AD230" s="5" t="s">
        <v>3167</v>
      </c>
      <c r="AE230" s="5">
        <v>4</v>
      </c>
      <c r="AF230" s="5" t="s">
        <v>3168</v>
      </c>
      <c r="AG230" s="5">
        <v>1954</v>
      </c>
      <c r="AH230" s="8" t="s">
        <v>3233</v>
      </c>
      <c r="AI230" s="5">
        <v>31735066267505</v>
      </c>
    </row>
    <row r="231" spans="1:35" ht="38.25" x14ac:dyDescent="0.4">
      <c r="A231" s="4">
        <v>4</v>
      </c>
      <c r="B231" s="5">
        <v>210</v>
      </c>
      <c r="C231" s="5" t="s">
        <v>35</v>
      </c>
      <c r="D231" s="5" t="s">
        <v>3169</v>
      </c>
      <c r="E231" s="5" t="s">
        <v>2879</v>
      </c>
      <c r="F231" s="5" t="s">
        <v>2956</v>
      </c>
      <c r="G231" s="5" t="s">
        <v>3170</v>
      </c>
      <c r="H231" s="4">
        <v>1978</v>
      </c>
      <c r="I231" s="5" t="s">
        <v>3171</v>
      </c>
      <c r="J231" s="5" t="s">
        <v>1966</v>
      </c>
      <c r="K231" s="5" t="s">
        <v>3172</v>
      </c>
      <c r="L231" s="5" t="s">
        <v>3173</v>
      </c>
      <c r="M231" s="5" t="s">
        <v>3174</v>
      </c>
      <c r="N231" s="5" t="s">
        <v>3175</v>
      </c>
      <c r="O231" s="5" t="s">
        <v>433</v>
      </c>
      <c r="P231" s="5" t="s">
        <v>3176</v>
      </c>
      <c r="Q231" s="5" t="s">
        <v>3177</v>
      </c>
      <c r="R231" s="5"/>
      <c r="S231" s="7"/>
      <c r="T231" s="5"/>
      <c r="U231" s="5"/>
      <c r="V231" s="5"/>
      <c r="W231" s="5"/>
      <c r="X231" s="5" t="s">
        <v>3178</v>
      </c>
      <c r="Y231" s="5"/>
      <c r="Z231" s="5"/>
      <c r="AA231" s="5" t="s">
        <v>3179</v>
      </c>
      <c r="AB231" s="5" t="s">
        <v>3180</v>
      </c>
      <c r="AC231" s="5" t="s">
        <v>50</v>
      </c>
      <c r="AD231" s="5" t="s">
        <v>3181</v>
      </c>
      <c r="AE231" s="5">
        <v>1</v>
      </c>
      <c r="AF231" s="5" t="s">
        <v>3182</v>
      </c>
      <c r="AG231" s="5">
        <v>1978</v>
      </c>
      <c r="AH231" s="8" t="s">
        <v>3233</v>
      </c>
      <c r="AI231" s="5">
        <v>31735066268024</v>
      </c>
    </row>
    <row r="232" spans="1:35" ht="51" x14ac:dyDescent="0.4">
      <c r="A232" s="4">
        <v>4</v>
      </c>
      <c r="B232" s="5">
        <v>211</v>
      </c>
      <c r="C232" s="5" t="s">
        <v>35</v>
      </c>
      <c r="D232" s="5" t="s">
        <v>3183</v>
      </c>
      <c r="E232" s="5" t="s">
        <v>3184</v>
      </c>
      <c r="F232" s="5" t="s">
        <v>1560</v>
      </c>
      <c r="G232" s="5" t="s">
        <v>3185</v>
      </c>
      <c r="H232" s="4"/>
      <c r="I232" s="5" t="s">
        <v>3186</v>
      </c>
      <c r="J232" s="5" t="s">
        <v>429</v>
      </c>
      <c r="K232" s="5" t="s">
        <v>3187</v>
      </c>
      <c r="L232" s="5"/>
      <c r="M232" s="5" t="s">
        <v>735</v>
      </c>
      <c r="N232" s="5" t="s">
        <v>3188</v>
      </c>
      <c r="O232" s="5" t="s">
        <v>83</v>
      </c>
      <c r="P232" s="5" t="s">
        <v>1634</v>
      </c>
      <c r="Q232" s="5" t="s">
        <v>3189</v>
      </c>
      <c r="R232" s="5"/>
      <c r="S232" s="7"/>
      <c r="T232" s="5"/>
      <c r="U232" s="5"/>
      <c r="V232" s="5"/>
      <c r="W232" s="5"/>
      <c r="X232" s="5" t="s">
        <v>3190</v>
      </c>
      <c r="Y232" s="5"/>
      <c r="Z232" s="5"/>
      <c r="AA232" s="5" t="s">
        <v>3191</v>
      </c>
      <c r="AB232" s="5" t="s">
        <v>3192</v>
      </c>
      <c r="AC232" s="5" t="s">
        <v>50</v>
      </c>
      <c r="AD232" s="5" t="s">
        <v>3193</v>
      </c>
      <c r="AE232" s="5">
        <v>1</v>
      </c>
      <c r="AF232" s="5" t="s">
        <v>3194</v>
      </c>
      <c r="AG232" s="5"/>
      <c r="AH232" s="8" t="s">
        <v>3233</v>
      </c>
      <c r="AI232" s="5">
        <v>31735064607603</v>
      </c>
    </row>
    <row r="233" spans="1:35" ht="38.25" x14ac:dyDescent="0.4">
      <c r="A233" s="4">
        <v>4</v>
      </c>
      <c r="B233" s="5">
        <v>212</v>
      </c>
      <c r="C233" s="5" t="s">
        <v>243</v>
      </c>
      <c r="D233" s="5" t="s">
        <v>244</v>
      </c>
      <c r="E233" s="5" t="s">
        <v>3184</v>
      </c>
      <c r="F233" s="5" t="s">
        <v>334</v>
      </c>
      <c r="G233" s="5" t="s">
        <v>3195</v>
      </c>
      <c r="H233" s="4"/>
      <c r="I233" s="5" t="s">
        <v>3196</v>
      </c>
      <c r="J233" s="5" t="s">
        <v>429</v>
      </c>
      <c r="K233" s="5" t="s">
        <v>3197</v>
      </c>
      <c r="L233" s="5" t="s">
        <v>3198</v>
      </c>
      <c r="M233" s="5" t="s">
        <v>43</v>
      </c>
      <c r="N233" s="5" t="s">
        <v>43</v>
      </c>
      <c r="O233" s="5" t="s">
        <v>433</v>
      </c>
      <c r="P233" s="5" t="s">
        <v>3199</v>
      </c>
      <c r="Q233" s="5" t="s">
        <v>3200</v>
      </c>
      <c r="R233" s="5" t="s">
        <v>3201</v>
      </c>
      <c r="S233" s="7"/>
      <c r="T233" s="5" t="s">
        <v>67</v>
      </c>
      <c r="U233" s="5"/>
      <c r="V233" s="5"/>
      <c r="W233" s="5"/>
      <c r="X233" s="5" t="s">
        <v>3202</v>
      </c>
      <c r="Y233" s="5"/>
      <c r="Z233" s="5"/>
      <c r="AA233" s="5" t="s">
        <v>3203</v>
      </c>
      <c r="AB233" s="5" t="s">
        <v>3204</v>
      </c>
      <c r="AC233" s="5" t="s">
        <v>313</v>
      </c>
      <c r="AD233" s="5" t="s">
        <v>3205</v>
      </c>
      <c r="AE233" s="5">
        <v>1</v>
      </c>
      <c r="AF233" s="5" t="s">
        <v>3206</v>
      </c>
      <c r="AG233" s="5" t="s">
        <v>3207</v>
      </c>
      <c r="AH233" s="8" t="s">
        <v>3233</v>
      </c>
      <c r="AI233" s="5">
        <v>31735066266440</v>
      </c>
    </row>
    <row r="234" spans="1:35" ht="63.75" x14ac:dyDescent="0.4">
      <c r="A234" s="4">
        <v>4</v>
      </c>
      <c r="B234" s="5">
        <v>213</v>
      </c>
      <c r="C234" s="5" t="s">
        <v>95</v>
      </c>
      <c r="D234" s="5" t="s">
        <v>3208</v>
      </c>
      <c r="E234" s="5" t="s">
        <v>3184</v>
      </c>
      <c r="F234" s="5" t="s">
        <v>218</v>
      </c>
      <c r="G234" s="5" t="s">
        <v>3209</v>
      </c>
      <c r="H234" s="4"/>
      <c r="I234" s="5" t="s">
        <v>3210</v>
      </c>
      <c r="J234" s="5" t="s">
        <v>2959</v>
      </c>
      <c r="K234" s="5" t="s">
        <v>3211</v>
      </c>
      <c r="L234" s="5" t="s">
        <v>3212</v>
      </c>
      <c r="M234" s="5" t="s">
        <v>292</v>
      </c>
      <c r="N234" s="5" t="s">
        <v>3213</v>
      </c>
      <c r="O234" s="5" t="s">
        <v>83</v>
      </c>
      <c r="P234" s="5" t="s">
        <v>83</v>
      </c>
      <c r="Q234" s="5" t="s">
        <v>3214</v>
      </c>
      <c r="R234" s="5" t="s">
        <v>3215</v>
      </c>
      <c r="S234" s="7">
        <v>32000</v>
      </c>
      <c r="T234" s="5" t="s">
        <v>449</v>
      </c>
      <c r="U234" s="5"/>
      <c r="V234" s="5"/>
      <c r="W234" s="5"/>
      <c r="X234" s="5" t="s">
        <v>3216</v>
      </c>
      <c r="Y234" s="5" t="s">
        <v>3217</v>
      </c>
      <c r="Z234" s="5"/>
      <c r="AA234" s="5" t="s">
        <v>3218</v>
      </c>
      <c r="AB234" s="5" t="s">
        <v>3219</v>
      </c>
      <c r="AC234" s="5" t="s">
        <v>50</v>
      </c>
      <c r="AD234" s="5" t="s">
        <v>3220</v>
      </c>
      <c r="AE234" s="5">
        <v>1</v>
      </c>
      <c r="AF234" s="5" t="s">
        <v>3221</v>
      </c>
      <c r="AG234" s="5"/>
      <c r="AH234" s="8" t="s">
        <v>3233</v>
      </c>
      <c r="AI234" s="5">
        <v>31735066266465</v>
      </c>
    </row>
    <row r="235" spans="1:35" ht="51" x14ac:dyDescent="0.4">
      <c r="A235" s="4">
        <v>4</v>
      </c>
      <c r="B235" s="5">
        <v>214</v>
      </c>
      <c r="C235" s="5" t="s">
        <v>35</v>
      </c>
      <c r="D235" s="5" t="s">
        <v>3222</v>
      </c>
      <c r="E235" s="5" t="s">
        <v>3184</v>
      </c>
      <c r="F235" s="5"/>
      <c r="G235" s="5" t="s">
        <v>3223</v>
      </c>
      <c r="H235" s="4"/>
      <c r="I235" s="5" t="s">
        <v>3224</v>
      </c>
      <c r="J235" s="5" t="s">
        <v>1966</v>
      </c>
      <c r="K235" s="5" t="s">
        <v>3225</v>
      </c>
      <c r="L235" s="5"/>
      <c r="M235" s="5" t="s">
        <v>735</v>
      </c>
      <c r="N235" s="5" t="s">
        <v>3226</v>
      </c>
      <c r="O235" s="5" t="s">
        <v>433</v>
      </c>
      <c r="P235" s="5" t="s">
        <v>3176</v>
      </c>
      <c r="Q235" s="5" t="s">
        <v>3227</v>
      </c>
      <c r="R235" s="5"/>
      <c r="S235" s="7"/>
      <c r="T235" s="5"/>
      <c r="U235" s="5"/>
      <c r="V235" s="5"/>
      <c r="W235" s="5"/>
      <c r="X235" s="5" t="s">
        <v>3228</v>
      </c>
      <c r="Y235" s="5"/>
      <c r="Z235" s="5"/>
      <c r="AA235" s="5" t="s">
        <v>3229</v>
      </c>
      <c r="AB235" s="5" t="s">
        <v>3230</v>
      </c>
      <c r="AC235" s="5" t="s">
        <v>164</v>
      </c>
      <c r="AD235" s="5" t="s">
        <v>3231</v>
      </c>
      <c r="AE235" s="5">
        <v>1</v>
      </c>
      <c r="AF235" s="5" t="s">
        <v>3232</v>
      </c>
      <c r="AG235" s="5"/>
      <c r="AH235" s="8" t="s">
        <v>3233</v>
      </c>
      <c r="AI235" s="5">
        <v>31735066268032</v>
      </c>
    </row>
  </sheetData>
  <autoFilter ref="A1:AI235" xr:uid="{0C772B8F-DBC5-4481-B2DA-39C8EF4A5A89}"/>
  <phoneticPr fontId="4" type="noConversion"/>
  <conditionalFormatting sqref="AC2:AC235">
    <cfRule type="cellIs" dxfId="1" priority="1" stopIfTrue="1" operator="equal">
      <formula>"低"</formula>
    </cfRule>
    <cfRule type="cellIs" dxfId="0" priority="2" stopIfTrue="1" operator="equal">
      <formula>"中"</formula>
    </cfRule>
  </conditionalFormatting>
  <hyperlinks>
    <hyperlink ref="AH2" r:id="rId1" xr:uid="{197BDC6B-869C-40A2-B30D-34076E63EA99}"/>
    <hyperlink ref="AH3" r:id="rId2" xr:uid="{90FBCA6B-9B16-405E-9009-0818E16C8A0E}"/>
    <hyperlink ref="AH4" r:id="rId3" xr:uid="{D79FA38A-EED2-4051-9749-6257B9D779D8}"/>
    <hyperlink ref="AH5" r:id="rId4" xr:uid="{0C60DE77-105A-4B14-BB15-2D8C3E946164}"/>
    <hyperlink ref="AH6" r:id="rId5" xr:uid="{CF32FD11-6845-4BEA-80DD-C5F17C18732A}"/>
    <hyperlink ref="AH7" r:id="rId6" xr:uid="{4F36D3C7-4F06-4C6D-8408-8D4DFD0FDEAC}"/>
    <hyperlink ref="AH8" r:id="rId7" xr:uid="{2DDA1FB6-2E50-47CB-9A17-ED08A56D67AF}"/>
    <hyperlink ref="AH9" r:id="rId8" xr:uid="{1A9E6674-9EAC-462D-B5DB-8D397A04E787}"/>
    <hyperlink ref="AH10" r:id="rId9" xr:uid="{AEA8F110-6E31-403B-ACB0-8A9BF0FDC63A}"/>
    <hyperlink ref="AH11" r:id="rId10" xr:uid="{28996659-7333-4C0B-9C11-2179DCCAE568}"/>
    <hyperlink ref="AH12" r:id="rId11" xr:uid="{95FE05D8-8704-4DE7-8FEA-37E6FDF0CC87}"/>
    <hyperlink ref="AH13" r:id="rId12" xr:uid="{3E45EF4C-27C2-463A-8AE9-3892F58FF38E}"/>
    <hyperlink ref="AH14" r:id="rId13" xr:uid="{FC50D5C0-7CA8-4E5B-84D0-89CBFCE40AAA}"/>
    <hyperlink ref="AH15" r:id="rId14" xr:uid="{75B5CF4C-D2FA-441A-B0F9-43CE25E2C095}"/>
    <hyperlink ref="AH16" r:id="rId15" xr:uid="{E6205EFE-3216-4E70-B497-AB1F69024A8B}"/>
    <hyperlink ref="AH17" r:id="rId16" xr:uid="{F5397B6E-94B0-4CF9-BF64-B8B9414F015E}"/>
    <hyperlink ref="AH18" r:id="rId17" xr:uid="{DD0F2B8B-90FB-4A50-B79D-489F3E76200F}"/>
    <hyperlink ref="AH19" r:id="rId18" xr:uid="{C6322E33-A062-4633-AF15-C1D965A52B58}"/>
    <hyperlink ref="AH20" r:id="rId19" xr:uid="{2DC46B0A-BA64-494E-AFBC-2D6DA4B70C8E}"/>
    <hyperlink ref="AH21" r:id="rId20" xr:uid="{8963C966-1D40-4463-9D7A-C2BE0CB8C248}"/>
    <hyperlink ref="AH22" r:id="rId21" xr:uid="{C367F7FA-3455-436D-B39D-DE208673C330}"/>
    <hyperlink ref="AH23" r:id="rId22" xr:uid="{B4E5594B-0171-442D-8F08-09138BE50E99}"/>
    <hyperlink ref="AH24" r:id="rId23" xr:uid="{B96A4EF2-3BE8-4FF5-A4C1-7BA15D901290}"/>
    <hyperlink ref="AH25" r:id="rId24" xr:uid="{3ECF404F-CFD1-47B5-9049-8852F0732E4D}"/>
    <hyperlink ref="AH26" r:id="rId25" xr:uid="{FCC36CA9-5A46-443B-AAD0-B3B1415C1DAE}"/>
    <hyperlink ref="AH27" r:id="rId26" xr:uid="{3C8A2FB5-6CE9-45E8-A62E-5C4A5635FC34}"/>
    <hyperlink ref="AH28" r:id="rId27" xr:uid="{2E9049A8-E8E0-4F2B-9D81-8B03AA32B9BE}"/>
    <hyperlink ref="AH29" r:id="rId28" xr:uid="{BB841C68-A4CB-4DEC-AA05-13E35D38EBD8}"/>
    <hyperlink ref="AH30" r:id="rId29" xr:uid="{1E833581-FCDB-46AD-B49A-CF32675D5051}"/>
    <hyperlink ref="AH31" r:id="rId30" xr:uid="{2A506A27-C1BF-4D3F-979E-C36793008316}"/>
    <hyperlink ref="AH32" r:id="rId31" xr:uid="{6BB103F6-C255-4F4D-9A98-18B4A22C2DA9}"/>
    <hyperlink ref="AH33" r:id="rId32" xr:uid="{7ECA22B0-C86E-4BFB-A670-145A356B0B85}"/>
    <hyperlink ref="AH34" r:id="rId33" xr:uid="{457E098B-9D8E-478F-BB05-F79B7158A146}"/>
    <hyperlink ref="AH35" r:id="rId34" xr:uid="{D8AAE324-2E3E-4FB4-98C4-E719BFF4F763}"/>
    <hyperlink ref="AH36" r:id="rId35" xr:uid="{2ECAA921-5712-4A80-8935-8415F522ED30}"/>
    <hyperlink ref="AH37" r:id="rId36" xr:uid="{3FF2CEDA-7D6E-4954-A2A3-F45A11BA3D49}"/>
    <hyperlink ref="AH38" r:id="rId37" xr:uid="{E59A97E6-DD50-4E99-90D2-EB1779AF4D71}"/>
    <hyperlink ref="AH39" r:id="rId38" xr:uid="{21B07FA8-12D2-43B6-9964-1DFB62AF7D2B}"/>
    <hyperlink ref="AH40" r:id="rId39" xr:uid="{E7F5D737-EBC0-4E6C-93E3-7DCB21E36D0A}"/>
    <hyperlink ref="AH41" r:id="rId40" xr:uid="{1EB97EB1-78E4-4E95-AD42-A966FD68081F}"/>
    <hyperlink ref="AH42" r:id="rId41" xr:uid="{BCC88F0A-B62C-4D80-85E0-523D5B513BBB}"/>
    <hyperlink ref="AH43" r:id="rId42" xr:uid="{3BF8E2C8-E20C-4D94-AC8E-CEA5A7D3801D}"/>
    <hyperlink ref="AH44" r:id="rId43" xr:uid="{5516C001-A693-460F-ACAC-19326BA6BC3E}"/>
    <hyperlink ref="AH45" r:id="rId44" xr:uid="{C4E962D3-5414-4EC7-A4CD-E06BC797C4EA}"/>
    <hyperlink ref="AH46" r:id="rId45" xr:uid="{E312C32A-9573-43F9-9EAE-126A53F5D2C7}"/>
    <hyperlink ref="AH47" r:id="rId46" xr:uid="{5546805A-5A9F-460B-8307-0ECD59CD7436}"/>
    <hyperlink ref="AH48" r:id="rId47" xr:uid="{5F2E7937-65AC-41E8-AB3D-68AC5D0BE2C6}"/>
    <hyperlink ref="AH49" r:id="rId48" xr:uid="{2BC20030-1163-46E3-9D74-2CB42FF5E158}"/>
    <hyperlink ref="AH50" r:id="rId49" xr:uid="{26CC1325-EAFE-4A1C-98C7-80137D117BEA}"/>
    <hyperlink ref="AH51" r:id="rId50" xr:uid="{B2562156-75E3-44F4-8730-D358D0190322}"/>
    <hyperlink ref="AH52" r:id="rId51" xr:uid="{7A3EA539-5008-42BF-8591-74D27ED94447}"/>
    <hyperlink ref="AH53" r:id="rId52" xr:uid="{99D8CDF7-2A52-4FA0-AB8A-0AB230FF1C97}"/>
    <hyperlink ref="AH54" r:id="rId53" xr:uid="{6B2060EB-3977-4F84-B310-638B4C7E19E2}"/>
    <hyperlink ref="AH55" r:id="rId54" xr:uid="{FDB2CFE1-604D-47D3-8E46-A49EA15ED35F}"/>
    <hyperlink ref="AH56" r:id="rId55" xr:uid="{DCE54DD1-FF02-49F3-87C0-9171AF4D02FC}"/>
    <hyperlink ref="AH57" r:id="rId56" xr:uid="{48D62D9D-3E90-4549-9EA5-617BBB0550FF}"/>
    <hyperlink ref="AH58" r:id="rId57" xr:uid="{5D3753A8-EF70-4381-AEF6-7F6647EF38AF}"/>
    <hyperlink ref="AH59" r:id="rId58" xr:uid="{89772F60-A79D-454F-8288-827FC5B65A80}"/>
    <hyperlink ref="AH60" r:id="rId59" xr:uid="{76E55D21-E3CE-4DA9-BE5F-A5620807E446}"/>
    <hyperlink ref="AH61" r:id="rId60" xr:uid="{0CC55BCF-202E-48FB-A197-6943EF06D424}"/>
    <hyperlink ref="AH62" r:id="rId61" xr:uid="{0B72A942-1DB7-4CFF-87B7-CDDF1CCC4F26}"/>
    <hyperlink ref="AH63" r:id="rId62" xr:uid="{9DB492A6-F922-4A56-8835-A83C17C88DE1}"/>
    <hyperlink ref="AH64" r:id="rId63" xr:uid="{E66DA663-7E2B-478D-B75E-5B7D3959B17E}"/>
    <hyperlink ref="AH65" r:id="rId64" xr:uid="{8FC4A7D3-B7B9-4881-9F6D-54C67BF4BBB4}"/>
    <hyperlink ref="AH66" r:id="rId65" xr:uid="{ABB01925-9CF9-457A-9211-83520F325AD5}"/>
    <hyperlink ref="AH67" r:id="rId66" xr:uid="{D5DF834E-4121-48BB-978D-A5189CC3AC43}"/>
    <hyperlink ref="AH68" r:id="rId67" xr:uid="{316EC6FD-E465-4384-9F70-F9CA2F5061C0}"/>
    <hyperlink ref="AH69" r:id="rId68" xr:uid="{78D5AB42-5900-4703-8A0E-DB8FEBBAA16C}"/>
    <hyperlink ref="AH70" r:id="rId69" xr:uid="{022B0CF7-C953-44DC-897F-D98410FBF766}"/>
    <hyperlink ref="AH71" r:id="rId70" xr:uid="{6AAEF546-2DC5-4976-BE07-AA3FDA6002EE}"/>
    <hyperlink ref="AH72" r:id="rId71" xr:uid="{0BDE1178-70AA-42D9-BCAF-A9EF2BFAF24B}"/>
    <hyperlink ref="AH73" r:id="rId72" xr:uid="{81BFED0F-13EB-4E99-BFFC-A403924FD801}"/>
    <hyperlink ref="AH74" r:id="rId73" xr:uid="{2535ABBA-3035-4C08-BA50-D5879A776C31}"/>
    <hyperlink ref="AH75" r:id="rId74" xr:uid="{FC388A23-5977-453B-9B3D-6934B1569731}"/>
    <hyperlink ref="AH76" r:id="rId75" xr:uid="{940511BB-37B2-40C1-8203-CE453B36FE4B}"/>
    <hyperlink ref="AH77" r:id="rId76" xr:uid="{14D7BAFA-D2E0-4B7B-8A7F-73D8527D5B9F}"/>
    <hyperlink ref="AH78" r:id="rId77" xr:uid="{0D7BED41-FD1B-4037-AA19-9B145C386A36}"/>
    <hyperlink ref="AH79" r:id="rId78" xr:uid="{D8955DDD-E71E-4714-9254-ADA2A0F91AC5}"/>
    <hyperlink ref="AH80" r:id="rId79" xr:uid="{1787B5B7-A342-4285-AEF6-84FAB995FF39}"/>
    <hyperlink ref="AH81" r:id="rId80" xr:uid="{9C9B6AF5-93F2-466D-91D1-661995A62AE3}"/>
    <hyperlink ref="AH82" r:id="rId81" xr:uid="{9BC1E096-6C23-4974-A437-8BF514B839FD}"/>
    <hyperlink ref="AH83" r:id="rId82" xr:uid="{BD9FB352-DB59-41CA-95CB-B03CA5D5A45F}"/>
    <hyperlink ref="AH84" r:id="rId83" xr:uid="{0EC21543-D90D-46E0-888A-D279E59156A0}"/>
    <hyperlink ref="AH85" r:id="rId84" xr:uid="{7F5F504A-83FC-4081-B025-98BB28EE530B}"/>
    <hyperlink ref="AH86" r:id="rId85" xr:uid="{F98EF8E0-DFA1-43A2-A5AF-A85EBA753F6E}"/>
    <hyperlink ref="AH87" r:id="rId86" xr:uid="{CED493FD-3BF0-491E-BDA9-1D3634D88703}"/>
    <hyperlink ref="AH88" r:id="rId87" xr:uid="{55E5E791-3957-4290-98D6-A1360B3CD9F5}"/>
    <hyperlink ref="AH89" r:id="rId88" xr:uid="{F10F8EA3-005C-4179-B349-17ADB8FF545C}"/>
    <hyperlink ref="AH90" r:id="rId89" xr:uid="{BFD1FEC3-5756-400B-88A3-A6C32B85E49B}"/>
    <hyperlink ref="AH91" r:id="rId90" xr:uid="{7FFB7E4F-DC66-4926-B707-3198D4E0E017}"/>
    <hyperlink ref="AH92" r:id="rId91" xr:uid="{1E03E28D-30EE-42FF-8F71-D88BF83939E8}"/>
    <hyperlink ref="AH93" r:id="rId92" xr:uid="{4BAC3148-0968-4AB3-8469-AFB55ADD0A8A}"/>
    <hyperlink ref="AH94" r:id="rId93" xr:uid="{39A861CE-195D-4C1D-8317-430129A7EF34}"/>
    <hyperlink ref="AH95" r:id="rId94" xr:uid="{028885D2-1525-40C0-BBC4-7DA8C7ACD6D8}"/>
    <hyperlink ref="AH96" r:id="rId95" xr:uid="{39A2D6B5-E799-41CC-AE65-1FB25F59BE9E}"/>
    <hyperlink ref="AH97" r:id="rId96" xr:uid="{D24DAA3F-0DF1-49D9-BCD6-40DAB7013DB2}"/>
    <hyperlink ref="AH98" r:id="rId97" xr:uid="{EF3C2E20-28D6-4B09-83A4-9003C0F2DD47}"/>
    <hyperlink ref="AH99" r:id="rId98" xr:uid="{8B24235D-BFDD-43EE-BE16-021D095B80B9}"/>
    <hyperlink ref="AH100" r:id="rId99" xr:uid="{04F23AA6-30B6-4CB5-8EB6-1E9EDFF35A63}"/>
    <hyperlink ref="AH101" r:id="rId100" xr:uid="{9F22659E-D52A-4AAC-A150-B071BD27A125}"/>
    <hyperlink ref="AH102" r:id="rId101" xr:uid="{40FE4E31-56D1-4612-9855-3EF8B4F688BA}"/>
    <hyperlink ref="AH103" r:id="rId102" xr:uid="{7076BCD9-8D29-44D8-BCC2-20D0E304BF7A}"/>
    <hyperlink ref="AH104" r:id="rId103" xr:uid="{76664186-F106-4208-A38F-2778C437B697}"/>
    <hyperlink ref="AH105" r:id="rId104" xr:uid="{73AB8721-3FA0-4A0F-A5D1-A44CEDC6AFD4}"/>
    <hyperlink ref="AH106" r:id="rId105" xr:uid="{19BC4AE1-E83B-4726-970F-C65DF62BFEB0}"/>
    <hyperlink ref="AH107" r:id="rId106" xr:uid="{EE353ED9-9EA3-4D7B-A5A3-69D19DFF5E1E}"/>
    <hyperlink ref="AH108" r:id="rId107" xr:uid="{BD8FD212-A0F7-4D66-BFA5-325C21456D3A}"/>
    <hyperlink ref="AH109" r:id="rId108" xr:uid="{A5716B82-6535-4CEB-9F14-85D59C6E00B8}"/>
    <hyperlink ref="AH110" r:id="rId109" xr:uid="{27D9C6CF-DB23-443C-8D2D-116456C7E604}"/>
    <hyperlink ref="AH111" r:id="rId110" xr:uid="{5BF0051C-B705-4597-94FE-69B367296183}"/>
    <hyperlink ref="AH112" r:id="rId111" xr:uid="{3E3826DB-9419-4862-9ED0-A57E7D573202}"/>
    <hyperlink ref="AH113" r:id="rId112" xr:uid="{F88834EB-CAA5-477F-85CF-DB0221B717C1}"/>
    <hyperlink ref="AH114" r:id="rId113" xr:uid="{80C394DC-8BD8-4401-BADA-A866304D2DD5}"/>
    <hyperlink ref="AH115" r:id="rId114" xr:uid="{73D4793A-9D98-410F-AE22-F051F3173B96}"/>
    <hyperlink ref="AH116" r:id="rId115" xr:uid="{0B0B1617-199E-4973-9A98-B6B298793007}"/>
    <hyperlink ref="AH117" r:id="rId116" xr:uid="{B62A7C1E-B344-41BE-9442-5800FC96F752}"/>
    <hyperlink ref="AH118" r:id="rId117" xr:uid="{5F2F6A8B-A0D6-4ADA-9BAD-27DBDEB66C89}"/>
    <hyperlink ref="AH119" r:id="rId118" xr:uid="{1B19B140-4676-4AF7-A405-3060FC264664}"/>
    <hyperlink ref="AH120" r:id="rId119" xr:uid="{7C3F127A-EBD5-48E5-871F-A287F9C60E23}"/>
    <hyperlink ref="AH121" r:id="rId120" xr:uid="{9B56A4DA-29EA-4A65-8B33-1BA1A661E2EE}"/>
    <hyperlink ref="AH122" r:id="rId121" xr:uid="{478E53BC-A340-4088-959A-5B8E1E95230F}"/>
    <hyperlink ref="AH123" r:id="rId122" xr:uid="{B27613F7-21E8-44EC-80EC-7E3097536F16}"/>
    <hyperlink ref="AH124" r:id="rId123" xr:uid="{060CC28C-4E59-4926-9AC7-9F52797E335B}"/>
    <hyperlink ref="AH125" r:id="rId124" xr:uid="{DD785CC2-3DEC-4E30-BB20-F539754B89A8}"/>
    <hyperlink ref="AH126" r:id="rId125" xr:uid="{75BC1060-ACAF-474A-8181-170340A0CD3F}"/>
    <hyperlink ref="AH127" r:id="rId126" xr:uid="{9FEA45AA-6180-4248-B1F2-732325EA083A}"/>
    <hyperlink ref="AH128" r:id="rId127" xr:uid="{DFC79B18-8255-442A-853F-BC5EB2D60707}"/>
    <hyperlink ref="AH129" r:id="rId128" xr:uid="{D63506B9-0389-4CB9-AD14-192C5D2EDAAA}"/>
    <hyperlink ref="AH130" r:id="rId129" xr:uid="{266C9149-EF12-417C-B171-67044BC77665}"/>
    <hyperlink ref="AH131" r:id="rId130" xr:uid="{07583BCA-8909-411E-B841-342E9EDB10E6}"/>
    <hyperlink ref="AH132" r:id="rId131" xr:uid="{6A0826ED-D02C-458D-ABE8-1B9D52C7DDC9}"/>
    <hyperlink ref="AH133" r:id="rId132" xr:uid="{1A7147D4-5125-4D0C-B245-4EB4633F2C36}"/>
    <hyperlink ref="AH134" r:id="rId133" xr:uid="{669DA91B-9B41-483D-A85E-F20DA98B4F3A}"/>
    <hyperlink ref="AH135" r:id="rId134" xr:uid="{0E9D2911-156F-4A8E-9792-6499A59DDC63}"/>
    <hyperlink ref="AH136" r:id="rId135" xr:uid="{8E7D6955-991A-45DA-9132-6D7010BAEF28}"/>
    <hyperlink ref="AH137" r:id="rId136" xr:uid="{1361880D-6D7B-44B7-9764-0C1ED4E023B3}"/>
    <hyperlink ref="AH138" r:id="rId137" xr:uid="{8612C46A-F289-4633-B3DA-274025395E9E}"/>
    <hyperlink ref="AH139" r:id="rId138" xr:uid="{6D8ECE65-4912-4835-B3F8-371EE12A28F7}"/>
    <hyperlink ref="AH140" r:id="rId139" xr:uid="{0BE8BF78-0CA8-4E4B-9F50-16ADC7FD3845}"/>
    <hyperlink ref="AH141" r:id="rId140" xr:uid="{3CAFB197-686E-4239-BAFD-DB556DF76DB3}"/>
    <hyperlink ref="AH142" r:id="rId141" xr:uid="{68CF6032-084A-4705-BDD0-61D6A721CF1B}"/>
    <hyperlink ref="AH143" r:id="rId142" xr:uid="{31F33621-71C5-415E-9C85-A60D3D1F4149}"/>
    <hyperlink ref="AH144" r:id="rId143" xr:uid="{370AB1F3-5DCC-4DB3-B9A5-E8070375B663}"/>
    <hyperlink ref="AH145" r:id="rId144" xr:uid="{EB4E0FB4-8972-41C5-B878-B0ED5CB1B566}"/>
    <hyperlink ref="AH146" r:id="rId145" xr:uid="{19D04C02-1465-478F-9F20-5EA76528E2C8}"/>
    <hyperlink ref="AH147" r:id="rId146" xr:uid="{756DFC5D-7F8C-4877-9651-293663A7F44B}"/>
    <hyperlink ref="AH148" r:id="rId147" xr:uid="{8275299A-E366-4C23-8128-0B2AEADBFF8B}"/>
    <hyperlink ref="AH149" r:id="rId148" xr:uid="{392CF20A-B6B2-47E2-BF8E-92E4F15C4E5B}"/>
    <hyperlink ref="AH150" r:id="rId149" xr:uid="{4DDF4459-2FDD-4B2B-A542-712463937093}"/>
    <hyperlink ref="AH151" r:id="rId150" xr:uid="{1FDCA982-E4A3-4A3B-85DA-4744DC737226}"/>
    <hyperlink ref="AH152" r:id="rId151" xr:uid="{BAEA435E-7AAB-4CD4-A0A7-BF2EBE482A55}"/>
    <hyperlink ref="AH153" r:id="rId152" xr:uid="{BFA1483C-F674-458A-AD9C-2FD537257CA9}"/>
    <hyperlink ref="AH154" r:id="rId153" xr:uid="{83060D81-740A-49E7-A285-37083825E7AF}"/>
    <hyperlink ref="AH155" r:id="rId154" xr:uid="{F10BB346-27CB-405A-97BE-236594062105}"/>
    <hyperlink ref="AH156" r:id="rId155" xr:uid="{7B1BD9A0-7CF5-41F5-9407-A621A307A80F}"/>
    <hyperlink ref="AH157" r:id="rId156" xr:uid="{8C8312DD-23C2-42FC-8C84-81E320D212A9}"/>
    <hyperlink ref="AH158" r:id="rId157" xr:uid="{E2416809-EC79-4BDB-9686-51F6731EF3FF}"/>
    <hyperlink ref="AH159" r:id="rId158" xr:uid="{E68164F0-9021-4DF4-B666-C9EE9BB65760}"/>
    <hyperlink ref="AH160" r:id="rId159" xr:uid="{11D534DB-4380-40D4-A232-A354CAD68EF3}"/>
    <hyperlink ref="AH161" r:id="rId160" xr:uid="{8CAECF72-39B5-4144-9229-4155FB733153}"/>
    <hyperlink ref="AH162" r:id="rId161" xr:uid="{3238BA0C-028D-4F94-A780-F27E303FDCE7}"/>
    <hyperlink ref="AH163" r:id="rId162" xr:uid="{11E13C08-D532-46E9-8CFE-48539E4F02DF}"/>
    <hyperlink ref="AH164" r:id="rId163" xr:uid="{4352A223-50E1-4349-8FF0-6708E1EE55A2}"/>
    <hyperlink ref="AH165" r:id="rId164" xr:uid="{31BD52AD-7AB1-4A98-97FF-57DBA428031F}"/>
    <hyperlink ref="AH166" r:id="rId165" xr:uid="{B64677DF-5653-429C-9231-A4BD15C165E1}"/>
    <hyperlink ref="AH167" r:id="rId166" xr:uid="{B5B62119-D2FB-4194-A446-22BF1EEA3424}"/>
    <hyperlink ref="AH168" r:id="rId167" xr:uid="{0279BE82-98C2-4CC2-90E2-1CF27016F1F6}"/>
    <hyperlink ref="AH169" r:id="rId168" xr:uid="{F3B781D1-30C0-466A-8897-96140855C270}"/>
    <hyperlink ref="AH170" r:id="rId169" xr:uid="{1D12461D-484D-4A01-9C15-D35F598835C0}"/>
    <hyperlink ref="AH171" r:id="rId170" xr:uid="{8F441442-673C-4C44-B177-6FE0EC6D450B}"/>
    <hyperlink ref="AH172" r:id="rId171" xr:uid="{5756DDF3-E295-4707-9126-80934C43EB09}"/>
    <hyperlink ref="AH173" r:id="rId172" xr:uid="{913B4CD9-3817-4B4E-8C26-BD77EC96B7E2}"/>
    <hyperlink ref="AH174" r:id="rId173" xr:uid="{C6B7887C-D237-4ED4-B199-A7B957B495D2}"/>
    <hyperlink ref="AH175" r:id="rId174" xr:uid="{91F9C367-EA90-4947-9AA1-3B8B08AF97A1}"/>
    <hyperlink ref="AH176" r:id="rId175" xr:uid="{6DB93D79-F05F-40D4-9711-9809BCE6B7A9}"/>
    <hyperlink ref="AH177" r:id="rId176" xr:uid="{AD23E4C9-EBA3-43C2-A3B7-F13DA123622D}"/>
    <hyperlink ref="AH178" r:id="rId177" xr:uid="{501D61B5-5032-4225-9507-CE3807FF65CC}"/>
    <hyperlink ref="AH179" r:id="rId178" xr:uid="{0FFB2501-811B-4277-B3A0-A7F4056E4CC9}"/>
    <hyperlink ref="AH180" r:id="rId179" xr:uid="{41FE598B-0BDE-469A-8890-90C70FE357A9}"/>
    <hyperlink ref="AH181" r:id="rId180" xr:uid="{AE1C884C-7A07-4E6E-A3DB-B50A5BE1F8F1}"/>
    <hyperlink ref="AH182" r:id="rId181" xr:uid="{5245C0F7-9153-4770-8797-76F4E7BC59A4}"/>
    <hyperlink ref="AH183" r:id="rId182" xr:uid="{31214E6F-97C3-4331-B151-444A1322FA5E}"/>
    <hyperlink ref="AH184" r:id="rId183" xr:uid="{21CD3C42-1189-4C67-B2C4-57BE5C65F9B3}"/>
    <hyperlink ref="AH185" r:id="rId184" xr:uid="{A1A74042-75C9-4DD1-B57A-EC6E5F1B57E8}"/>
    <hyperlink ref="AH186" r:id="rId185" xr:uid="{1E84A24C-8846-40C0-93DB-9F73170B0F07}"/>
    <hyperlink ref="AH187" r:id="rId186" xr:uid="{DF850035-9076-4113-93F9-F26420BDDC17}"/>
    <hyperlink ref="AH188" r:id="rId187" xr:uid="{1D002061-0F3C-4645-886D-1B5ED436B8AA}"/>
    <hyperlink ref="AH189" r:id="rId188" xr:uid="{4A3E7A26-F9D1-4CA2-9774-99A9039E7E2A}"/>
    <hyperlink ref="AH190" r:id="rId189" xr:uid="{8A492764-A3BC-4D0F-8A60-16459AD517DE}"/>
    <hyperlink ref="AH191" r:id="rId190" xr:uid="{C3529019-B0C1-4B81-AA80-3E4738F9DED5}"/>
    <hyperlink ref="AH192" r:id="rId191" xr:uid="{6AA0861A-9D21-4A06-8E77-6ACF9A858CA0}"/>
    <hyperlink ref="AH193" r:id="rId192" xr:uid="{377649F4-C529-4A05-B520-D9F06E2C4017}"/>
    <hyperlink ref="AH194" r:id="rId193" xr:uid="{DD7DF6DB-B7B7-48D1-A419-E6801DA5CAFE}"/>
    <hyperlink ref="AH195" r:id="rId194" xr:uid="{17159EF1-8C20-484D-B33F-6059E7797721}"/>
    <hyperlink ref="AH196" r:id="rId195" xr:uid="{939E5EF6-6D38-4DF7-82C1-C436CF195B82}"/>
    <hyperlink ref="AH197" r:id="rId196" xr:uid="{38A4C9AA-78C5-439B-89CC-A90DF4787C0B}"/>
    <hyperlink ref="AH198" r:id="rId197" xr:uid="{FA987005-BFF6-42F6-B797-7148A83F1588}"/>
    <hyperlink ref="AH199" r:id="rId198" xr:uid="{44C9EFDB-BEC4-4F42-8EDD-8C7717BD859E}"/>
    <hyperlink ref="AH200" r:id="rId199" xr:uid="{EB8E15FE-ED8D-4C7A-9E05-E57B7C737F61}"/>
    <hyperlink ref="AH201" r:id="rId200" xr:uid="{CF403662-E71C-4891-B94E-F38DE28F4B57}"/>
    <hyperlink ref="AH202" r:id="rId201" xr:uid="{77F839B8-F279-4A4A-B042-8B4E858FB875}"/>
    <hyperlink ref="AH203" r:id="rId202" xr:uid="{FDAFE72C-ECB9-4791-8D73-1170DF070D3E}"/>
    <hyperlink ref="AH204" r:id="rId203" xr:uid="{B659FCFB-5C90-43FA-89D2-78088BC018F9}"/>
    <hyperlink ref="AH205" r:id="rId204" xr:uid="{5A170B8D-51F1-4058-9D3C-137A2E6729A6}"/>
    <hyperlink ref="AH206" r:id="rId205" xr:uid="{E0D14550-B943-4A9A-8A17-E57F3D349EA1}"/>
    <hyperlink ref="AH207" r:id="rId206" xr:uid="{D8789CC2-C906-435B-AB03-7C70F38AE7C6}"/>
    <hyperlink ref="AH208" r:id="rId207" xr:uid="{98D14803-B61B-4726-B8B8-596D93B894A7}"/>
    <hyperlink ref="AH209" r:id="rId208" xr:uid="{1C4A4729-A77F-401A-B112-A1323ED4E194}"/>
    <hyperlink ref="AH210" r:id="rId209" xr:uid="{714EF8B6-E119-4200-AAC4-4C88D4E65D85}"/>
    <hyperlink ref="AH211" r:id="rId210" xr:uid="{F8165B10-75A1-433A-9505-E340474BC857}"/>
    <hyperlink ref="AH212" r:id="rId211" xr:uid="{305772B1-13F0-491F-8BC7-576AAD35C41A}"/>
    <hyperlink ref="AH213" r:id="rId212" xr:uid="{88500939-2F6A-4DB8-BE16-1714756D32D2}"/>
    <hyperlink ref="AH214" r:id="rId213" xr:uid="{18A6AFD7-1ED4-41C3-8E5A-819E2D770DF4}"/>
    <hyperlink ref="AH215" r:id="rId214" xr:uid="{C2331308-F498-4668-89D2-891CFBABC7E1}"/>
    <hyperlink ref="AH216" r:id="rId215" xr:uid="{3C68CC00-D85E-4672-914E-3B700015125A}"/>
    <hyperlink ref="AH217" r:id="rId216" xr:uid="{EB028E85-2F4E-40FD-A1D3-FECA15AB81E2}"/>
    <hyperlink ref="AH218" r:id="rId217" xr:uid="{5FF926A8-B6EB-41D5-BDB4-DB4C44343466}"/>
    <hyperlink ref="AH219" r:id="rId218" xr:uid="{47C8F039-D153-4D03-981E-F8A33F6CF92C}"/>
    <hyperlink ref="AH220" r:id="rId219" xr:uid="{6A77EA76-BA12-458F-8022-817BC7CC61F0}"/>
    <hyperlink ref="AH221" r:id="rId220" xr:uid="{60F2DB4D-60E3-48F2-8469-01A4D1211024}"/>
    <hyperlink ref="AH222" r:id="rId221" xr:uid="{C5A0472A-DC2E-4E32-832A-B3255C8EB4BC}"/>
    <hyperlink ref="AH223" r:id="rId222" xr:uid="{77869039-C350-4580-8903-7C0834613F91}"/>
    <hyperlink ref="AH224" r:id="rId223" xr:uid="{0ADF1E88-7DE9-47BA-9FA8-11B3401ED650}"/>
    <hyperlink ref="AH225" r:id="rId224" xr:uid="{6CDA9A7D-2226-437E-A45F-5DAAB380A13C}"/>
    <hyperlink ref="AH226" r:id="rId225" xr:uid="{CB6EB2D7-EBE3-4712-8AE7-7796644ECACA}"/>
    <hyperlink ref="AH227" r:id="rId226" xr:uid="{7AC311AB-2FB3-44C2-905F-09947F9148C1}"/>
    <hyperlink ref="AH228" r:id="rId227" xr:uid="{D2B8E71D-E8D1-4644-A5B0-E61E4B0E6017}"/>
    <hyperlink ref="AH229" r:id="rId228" xr:uid="{A7F40540-025B-497C-818C-3FD5C6171430}"/>
    <hyperlink ref="AH230" r:id="rId229" xr:uid="{1B323ADF-F607-452F-931A-07D25186F5A4}"/>
    <hyperlink ref="AH231" r:id="rId230" xr:uid="{9B1644DC-5403-4426-9FC4-736E5E738433}"/>
    <hyperlink ref="AH232" r:id="rId231" xr:uid="{C98DF4C5-ADD1-483B-B6E3-EA22289A5232}"/>
    <hyperlink ref="AH233" r:id="rId232" xr:uid="{490B83C4-6AFB-4764-A5A4-79DB04177AC7}"/>
    <hyperlink ref="AH234" r:id="rId233" xr:uid="{2AADBBE0-1D6E-4942-84ED-257813CF83E1}"/>
    <hyperlink ref="AH235" r:id="rId234" xr:uid="{BE5A5EB8-CA7A-4D37-A1FF-1149BC23E27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9DCC-4113-4E76-83D4-9A395F0C2911}">
  <dimension ref="A1:K112"/>
  <sheetViews>
    <sheetView workbookViewId="0"/>
  </sheetViews>
  <sheetFormatPr defaultRowHeight="12.75" x14ac:dyDescent="0.4"/>
  <cols>
    <col min="1" max="1" width="26.59765625" style="1" customWidth="1"/>
    <col min="2" max="3" width="8.59765625" style="1" customWidth="1"/>
    <col min="4" max="5" width="9.06640625" style="1"/>
    <col min="6" max="6" width="14.59765625" style="1" customWidth="1"/>
    <col min="7" max="7" width="24.59765625" style="1" customWidth="1"/>
    <col min="8" max="11" width="11.59765625" style="1" customWidth="1"/>
    <col min="12" max="16384" width="9.06640625" style="1"/>
  </cols>
  <sheetData>
    <row r="1" spans="1:11" ht="13.15" x14ac:dyDescent="0.4">
      <c r="A1" s="2" t="s">
        <v>3234</v>
      </c>
    </row>
    <row r="3" spans="1:11" ht="15" x14ac:dyDescent="0.4">
      <c r="A3" s="9" t="s">
        <v>3235</v>
      </c>
      <c r="F3" s="9" t="s">
        <v>3246</v>
      </c>
    </row>
    <row r="4" spans="1:11" ht="13.15" x14ac:dyDescent="0.4">
      <c r="A4" s="10" t="s">
        <v>3236</v>
      </c>
      <c r="B4" s="10" t="s">
        <v>3237</v>
      </c>
      <c r="C4" s="10" t="s">
        <v>3238</v>
      </c>
      <c r="F4" s="13" t="s">
        <v>3247</v>
      </c>
    </row>
    <row r="5" spans="1:11" ht="13.15" x14ac:dyDescent="0.4">
      <c r="A5" s="1" t="s">
        <v>53</v>
      </c>
      <c r="B5" s="1">
        <f>COUNTIF(总表!$C$2:$C$235,A5)</f>
        <v>68</v>
      </c>
      <c r="C5" s="11">
        <f>IFERROR(B5/COUNTA(总表!$AI$2:$AI$235),0)</f>
        <v>0.29059829059829062</v>
      </c>
      <c r="F5" s="10" t="s">
        <v>19</v>
      </c>
      <c r="G5" s="10" t="s">
        <v>4</v>
      </c>
      <c r="H5" s="10" t="s">
        <v>3237</v>
      </c>
      <c r="I5" s="10" t="s">
        <v>3248</v>
      </c>
      <c r="J5" s="10" t="s">
        <v>3249</v>
      </c>
      <c r="K5" s="10" t="s">
        <v>3250</v>
      </c>
    </row>
    <row r="6" spans="1:11" x14ac:dyDescent="0.4">
      <c r="A6" s="1" t="s">
        <v>95</v>
      </c>
      <c r="B6" s="1">
        <f>COUNTIF(总表!$C$2:$C$235,A6)</f>
        <v>40</v>
      </c>
      <c r="C6" s="11">
        <f>IFERROR(B6/COUNTA(总表!$AI$2:$AI$235),0)</f>
        <v>0.17094017094017094</v>
      </c>
      <c r="F6" s="1" t="s">
        <v>67</v>
      </c>
      <c r="G6" s="1" t="s">
        <v>55</v>
      </c>
      <c r="H6" s="1">
        <f>SUMPRODUCT(COUNTIFS(总表!$T$2:$T$235,$F6,总表!$E$2:$E$235,$G6,总表!$C$2:$C$235,{"买卖（卖／卖断）","典当／胎借","找贴／凑断","典＋找贴"},总表!$S$2:$S$235,"&gt;0"))</f>
        <v>9</v>
      </c>
      <c r="I6" s="14">
        <f>IFERROR(SUMPRODUCT(SUMIFS(总表!$S$2:$S$235,总表!$T$2:$T$235,$F6,总表!$E$2:$E$235,$G6,总表!$C$2:$C$235,{"买卖（卖／卖断）","典当／胎借","找贴／凑断","典＋找贴"},总表!$S$2:$S$235,"&gt;0"))/H6,"—")</f>
        <v>18.022222222222222</v>
      </c>
      <c r="J6" s="14">
        <f>IF(H6=0,"—",MIN(IF(COUNTIFS(总表!$T$2:$T$235,$F6,总表!$E$2:$E$235,$G6,总表!$C$2:$C$235,"买卖（卖／卖断）",总表!$S$2:$S$235,"&gt;0")=0,1E+99,_xlfn.MINIFS(总表!$S$2:$S$235,总表!$T$2:$T$235,$F6,总表!$E$2:$E$235,$G6,总表!$C$2:$C$235,"买卖（卖／卖断）",总表!$S$2:$S$235,"&gt;0")),IF(COUNTIFS(总表!$T$2:$T$235,$F6,总表!$E$2:$E$235,$G6,总表!$C$2:$C$235,"典当／胎借",总表!$S$2:$S$235,"&gt;0")=0,1E+99,_xlfn.MINIFS(总表!$S$2:$S$235,总表!$T$2:$T$235,$F6,总表!$E$2:$E$235,$G6,总表!$C$2:$C$235,"典当／胎借",总表!$S$2:$S$235,"&gt;0")),IF(COUNTIFS(总表!$T$2:$T$235,$F6,总表!$E$2:$E$235,$G6,总表!$C$2:$C$235,"找贴／凑断",总表!$S$2:$S$235,"&gt;0")=0,1E+99,_xlfn.MINIFS(总表!$S$2:$S$235,总表!$T$2:$T$235,$F6,总表!$E$2:$E$235,$G6,总表!$C$2:$C$235,"找贴／凑断",总表!$S$2:$S$235,"&gt;0")),IF(COUNTIFS(总表!$T$2:$T$235,$F6,总表!$E$2:$E$235,$G6,总表!$C$2:$C$235,"典＋找贴",总表!$S$2:$S$235,"&gt;0")=0,1E+99,_xlfn.MINIFS(总表!$S$2:$S$235,总表!$T$2:$T$235,$F6,总表!$E$2:$E$235,$G6,总表!$C$2:$C$235,"典＋找贴",总表!$S$2:$S$235,"&gt;0"))))</f>
        <v>0.5</v>
      </c>
      <c r="K6" s="14">
        <f>IF(H6=0,"—",MAX(_xlfn.MAXIFS(总表!$S$2:$S$235,总表!$T$2:$T$235,$F6,总表!$E$2:$E$235,$G6,总表!$C$2:$C$235,"买卖（卖／卖断）",总表!$S$2:$S$235,"&gt;0"),_xlfn.MAXIFS(总表!$S$2:$S$235,总表!$T$2:$T$235,$F6,总表!$E$2:$E$235,$G6,总表!$C$2:$C$235,"典当／胎借",总表!$S$2:$S$235,"&gt;0"),_xlfn.MAXIFS(总表!$S$2:$S$235,总表!$T$2:$T$235,$F6,总表!$E$2:$E$235,$G6,总表!$C$2:$C$235,"找贴／凑断",总表!$S$2:$S$235,"&gt;0"),_xlfn.MAXIFS(总表!$S$2:$S$235,总表!$T$2:$T$235,$F6,总表!$E$2:$E$235,$G6,总表!$C$2:$C$235,"典＋找贴",总表!$S$2:$S$235,"&gt;0")))</f>
        <v>63</v>
      </c>
    </row>
    <row r="7" spans="1:11" x14ac:dyDescent="0.4">
      <c r="A7" s="1" t="s">
        <v>243</v>
      </c>
      <c r="B7" s="1">
        <f>COUNTIF(总表!$C$2:$C$235,A7)</f>
        <v>37</v>
      </c>
      <c r="C7" s="11">
        <f>IFERROR(B7/COUNTA(总表!$AI$2:$AI$235),0)</f>
        <v>0.15811965811965811</v>
      </c>
      <c r="F7" s="1" t="s">
        <v>67</v>
      </c>
      <c r="G7" s="1" t="s">
        <v>217</v>
      </c>
      <c r="H7" s="1">
        <f>SUMPRODUCT(COUNTIFS(总表!$T$2:$T$235,$F7,总表!$E$2:$E$235,$G7,总表!$C$2:$C$235,{"买卖（卖／卖断）","典当／胎借","找贴／凑断","典＋找贴"},总表!$S$2:$S$235,"&gt;0"))</f>
        <v>9</v>
      </c>
      <c r="I7" s="14">
        <f>IFERROR(SUMPRODUCT(SUMIFS(总表!$S$2:$S$235,总表!$T$2:$T$235,$F7,总表!$E$2:$E$235,$G7,总表!$C$2:$C$235,{"买卖（卖／卖断）","典当／胎借","找贴／凑断","典＋找贴"},总表!$S$2:$S$235,"&gt;0"))/H7,"—")</f>
        <v>95</v>
      </c>
      <c r="J7" s="14">
        <f>IF(H7=0,"—",MIN(IF(COUNTIFS(总表!$T$2:$T$235,$F7,总表!$E$2:$E$235,$G7,总表!$C$2:$C$235,"买卖（卖／卖断）",总表!$S$2:$S$235,"&gt;0")=0,1E+99,_xlfn.MINIFS(总表!$S$2:$S$235,总表!$T$2:$T$235,$F7,总表!$E$2:$E$235,$G7,总表!$C$2:$C$235,"买卖（卖／卖断）",总表!$S$2:$S$235,"&gt;0")),IF(COUNTIFS(总表!$T$2:$T$235,$F7,总表!$E$2:$E$235,$G7,总表!$C$2:$C$235,"典当／胎借",总表!$S$2:$S$235,"&gt;0")=0,1E+99,_xlfn.MINIFS(总表!$S$2:$S$235,总表!$T$2:$T$235,$F7,总表!$E$2:$E$235,$G7,总表!$C$2:$C$235,"典当／胎借",总表!$S$2:$S$235,"&gt;0")),IF(COUNTIFS(总表!$T$2:$T$235,$F7,总表!$E$2:$E$235,$G7,总表!$C$2:$C$235,"找贴／凑断",总表!$S$2:$S$235,"&gt;0")=0,1E+99,_xlfn.MINIFS(总表!$S$2:$S$235,总表!$T$2:$T$235,$F7,总表!$E$2:$E$235,$G7,总表!$C$2:$C$235,"找贴／凑断",总表!$S$2:$S$235,"&gt;0")),IF(COUNTIFS(总表!$T$2:$T$235,$F7,总表!$E$2:$E$235,$G7,总表!$C$2:$C$235,"典＋找贴",总表!$S$2:$S$235,"&gt;0")=0,1E+99,_xlfn.MINIFS(总表!$S$2:$S$235,总表!$T$2:$T$235,$F7,总表!$E$2:$E$235,$G7,总表!$C$2:$C$235,"典＋找贴",总表!$S$2:$S$235,"&gt;0"))))</f>
        <v>8</v>
      </c>
      <c r="K7" s="14">
        <f>IF(H7=0,"—",MAX(_xlfn.MAXIFS(总表!$S$2:$S$235,总表!$T$2:$T$235,$F7,总表!$E$2:$E$235,$G7,总表!$C$2:$C$235,"买卖（卖／卖断）",总表!$S$2:$S$235,"&gt;0"),_xlfn.MAXIFS(总表!$S$2:$S$235,总表!$T$2:$T$235,$F7,总表!$E$2:$E$235,$G7,总表!$C$2:$C$235,"典当／胎借",总表!$S$2:$S$235,"&gt;0"),_xlfn.MAXIFS(总表!$S$2:$S$235,总表!$T$2:$T$235,$F7,总表!$E$2:$E$235,$G7,总表!$C$2:$C$235,"找贴／凑断",总表!$S$2:$S$235,"&gt;0"),_xlfn.MAXIFS(总表!$S$2:$S$235,总表!$T$2:$T$235,$F7,总表!$E$2:$E$235,$G7,总表!$C$2:$C$235,"典＋找贴",总表!$S$2:$S$235,"&gt;0")))</f>
        <v>310</v>
      </c>
    </row>
    <row r="8" spans="1:11" x14ac:dyDescent="0.4">
      <c r="A8" s="1" t="s">
        <v>1197</v>
      </c>
      <c r="B8" s="1">
        <f>COUNTIF(总表!$C$2:$C$235,A8)</f>
        <v>25</v>
      </c>
      <c r="C8" s="11">
        <f>IFERROR(B8/COUNTA(总表!$AI$2:$AI$235),0)</f>
        <v>0.10683760683760683</v>
      </c>
      <c r="F8" s="1" t="s">
        <v>67</v>
      </c>
      <c r="G8" s="1" t="s">
        <v>560</v>
      </c>
      <c r="H8" s="1">
        <f>SUMPRODUCT(COUNTIFS(总表!$T$2:$T$235,$F8,总表!$E$2:$E$235,$G8,总表!$C$2:$C$235,{"买卖（卖／卖断）","典当／胎借","找贴／凑断","典＋找贴"},总表!$S$2:$S$235,"&gt;0"))</f>
        <v>32</v>
      </c>
      <c r="I8" s="14">
        <f>IFERROR(SUMPRODUCT(SUMIFS(总表!$S$2:$S$235,总表!$T$2:$T$235,$F8,总表!$E$2:$E$235,$G8,总表!$C$2:$C$235,{"买卖（卖／卖断）","典当／胎借","找贴／凑断","典＋找贴"},总表!$S$2:$S$235,"&gt;0"))/H8,"—")</f>
        <v>49.125</v>
      </c>
      <c r="J8" s="14">
        <f>IF(H8=0,"—",MIN(IF(COUNTIFS(总表!$T$2:$T$235,$F8,总表!$E$2:$E$235,$G8,总表!$C$2:$C$235,"买卖（卖／卖断）",总表!$S$2:$S$235,"&gt;0")=0,1E+99,_xlfn.MINIFS(总表!$S$2:$S$235,总表!$T$2:$T$235,$F8,总表!$E$2:$E$235,$G8,总表!$C$2:$C$235,"买卖（卖／卖断）",总表!$S$2:$S$235,"&gt;0")),IF(COUNTIFS(总表!$T$2:$T$235,$F8,总表!$E$2:$E$235,$G8,总表!$C$2:$C$235,"典当／胎借",总表!$S$2:$S$235,"&gt;0")=0,1E+99,_xlfn.MINIFS(总表!$S$2:$S$235,总表!$T$2:$T$235,$F8,总表!$E$2:$E$235,$G8,总表!$C$2:$C$235,"典当／胎借",总表!$S$2:$S$235,"&gt;0")),IF(COUNTIFS(总表!$T$2:$T$235,$F8,总表!$E$2:$E$235,$G8,总表!$C$2:$C$235,"找贴／凑断",总表!$S$2:$S$235,"&gt;0")=0,1E+99,_xlfn.MINIFS(总表!$S$2:$S$235,总表!$T$2:$T$235,$F8,总表!$E$2:$E$235,$G8,总表!$C$2:$C$235,"找贴／凑断",总表!$S$2:$S$235,"&gt;0")),IF(COUNTIFS(总表!$T$2:$T$235,$F8,总表!$E$2:$E$235,$G8,总表!$C$2:$C$235,"典＋找贴",总表!$S$2:$S$235,"&gt;0")=0,1E+99,_xlfn.MINIFS(总表!$S$2:$S$235,总表!$T$2:$T$235,$F8,总表!$E$2:$E$235,$G8,总表!$C$2:$C$235,"典＋找贴",总表!$S$2:$S$235,"&gt;0"))))</f>
        <v>8.25</v>
      </c>
      <c r="K8" s="14">
        <f>IF(H8=0,"—",MAX(_xlfn.MAXIFS(总表!$S$2:$S$235,总表!$T$2:$T$235,$F8,总表!$E$2:$E$235,$G8,总表!$C$2:$C$235,"买卖（卖／卖断）",总表!$S$2:$S$235,"&gt;0"),_xlfn.MAXIFS(总表!$S$2:$S$235,总表!$T$2:$T$235,$F8,总表!$E$2:$E$235,$G8,总表!$C$2:$C$235,"典当／胎借",总表!$S$2:$S$235,"&gt;0"),_xlfn.MAXIFS(总表!$S$2:$S$235,总表!$T$2:$T$235,$F8,总表!$E$2:$E$235,$G8,总表!$C$2:$C$235,"找贴／凑断",总表!$S$2:$S$235,"&gt;0"),_xlfn.MAXIFS(总表!$S$2:$S$235,总表!$T$2:$T$235,$F8,总表!$E$2:$E$235,$G8,总表!$C$2:$C$235,"典＋找贴",总表!$S$2:$S$235,"&gt;0")))</f>
        <v>283.5</v>
      </c>
    </row>
    <row r="9" spans="1:11" x14ac:dyDescent="0.4">
      <c r="A9" s="1" t="s">
        <v>2500</v>
      </c>
      <c r="B9" s="1">
        <f>COUNTIF(总表!$C$2:$C$235,A9)</f>
        <v>25</v>
      </c>
      <c r="C9" s="11">
        <f>IFERROR(B9/COUNTA(总表!$AI$2:$AI$235),0)</f>
        <v>0.10683760683760683</v>
      </c>
      <c r="F9" s="1" t="s">
        <v>67</v>
      </c>
      <c r="G9" s="1" t="s">
        <v>1559</v>
      </c>
      <c r="H9" s="1">
        <f>SUMPRODUCT(COUNTIFS(总表!$T$2:$T$235,$F9,总表!$E$2:$E$235,$G9,总表!$C$2:$C$235,{"买卖（卖／卖断）","典当／胎借","找贴／凑断","典＋找贴"},总表!$S$2:$S$235,"&gt;0"))</f>
        <v>2</v>
      </c>
      <c r="I9" s="14">
        <f>IFERROR(SUMPRODUCT(SUMIFS(总表!$S$2:$S$235,总表!$T$2:$T$235,$F9,总表!$E$2:$E$235,$G9,总表!$C$2:$C$235,{"买卖（卖／卖断）","典当／胎借","找贴／凑断","典＋找贴"},总表!$S$2:$S$235,"&gt;0"))/H9,"—")</f>
        <v>32</v>
      </c>
      <c r="J9" s="14">
        <f>IF(H9=0,"—",MIN(IF(COUNTIFS(总表!$T$2:$T$235,$F9,总表!$E$2:$E$235,$G9,总表!$C$2:$C$235,"买卖（卖／卖断）",总表!$S$2:$S$235,"&gt;0")=0,1E+99,_xlfn.MINIFS(总表!$S$2:$S$235,总表!$T$2:$T$235,$F9,总表!$E$2:$E$235,$G9,总表!$C$2:$C$235,"买卖（卖／卖断）",总表!$S$2:$S$235,"&gt;0")),IF(COUNTIFS(总表!$T$2:$T$235,$F9,总表!$E$2:$E$235,$G9,总表!$C$2:$C$235,"典当／胎借",总表!$S$2:$S$235,"&gt;0")=0,1E+99,_xlfn.MINIFS(总表!$S$2:$S$235,总表!$T$2:$T$235,$F9,总表!$E$2:$E$235,$G9,总表!$C$2:$C$235,"典当／胎借",总表!$S$2:$S$235,"&gt;0")),IF(COUNTIFS(总表!$T$2:$T$235,$F9,总表!$E$2:$E$235,$G9,总表!$C$2:$C$235,"找贴／凑断",总表!$S$2:$S$235,"&gt;0")=0,1E+99,_xlfn.MINIFS(总表!$S$2:$S$235,总表!$T$2:$T$235,$F9,总表!$E$2:$E$235,$G9,总表!$C$2:$C$235,"找贴／凑断",总表!$S$2:$S$235,"&gt;0")),IF(COUNTIFS(总表!$T$2:$T$235,$F9,总表!$E$2:$E$235,$G9,总表!$C$2:$C$235,"典＋找贴",总表!$S$2:$S$235,"&gt;0")=0,1E+99,_xlfn.MINIFS(总表!$S$2:$S$235,总表!$T$2:$T$235,$F9,总表!$E$2:$E$235,$G9,总表!$C$2:$C$235,"典＋找贴",总表!$S$2:$S$235,"&gt;0"))))</f>
        <v>24</v>
      </c>
      <c r="K9" s="14">
        <f>IF(H9=0,"—",MAX(_xlfn.MAXIFS(总表!$S$2:$S$235,总表!$T$2:$T$235,$F9,总表!$E$2:$E$235,$G9,总表!$C$2:$C$235,"买卖（卖／卖断）",总表!$S$2:$S$235,"&gt;0"),_xlfn.MAXIFS(总表!$S$2:$S$235,总表!$T$2:$T$235,$F9,总表!$E$2:$E$235,$G9,总表!$C$2:$C$235,"典当／胎借",总表!$S$2:$S$235,"&gt;0"),_xlfn.MAXIFS(总表!$S$2:$S$235,总表!$T$2:$T$235,$F9,总表!$E$2:$E$235,$G9,总表!$C$2:$C$235,"找贴／凑断",总表!$S$2:$S$235,"&gt;0"),_xlfn.MAXIFS(总表!$S$2:$S$235,总表!$T$2:$T$235,$F9,总表!$E$2:$E$235,$G9,总表!$C$2:$C$235,"典＋找贴",总表!$S$2:$S$235,"&gt;0")))</f>
        <v>40</v>
      </c>
    </row>
    <row r="10" spans="1:11" x14ac:dyDescent="0.4">
      <c r="A10" s="1" t="s">
        <v>150</v>
      </c>
      <c r="B10" s="1">
        <f>COUNTIF(总表!$C$2:$C$235,A10)</f>
        <v>14</v>
      </c>
      <c r="C10" s="11">
        <f>IFERROR(B10/COUNTA(总表!$AI$2:$AI$235),0)</f>
        <v>5.9829059829059832E-2</v>
      </c>
      <c r="F10" s="1" t="s">
        <v>67</v>
      </c>
      <c r="G10" s="1" t="s">
        <v>1900</v>
      </c>
      <c r="H10" s="1">
        <f>SUMPRODUCT(COUNTIFS(总表!$T$2:$T$235,$F10,总表!$E$2:$E$235,$G10,总表!$C$2:$C$235,{"买卖（卖／卖断）","典当／胎借","找贴／凑断","典＋找贴"},总表!$S$2:$S$235,"&gt;0"))</f>
        <v>1</v>
      </c>
      <c r="I10" s="14">
        <f>IFERROR(SUMPRODUCT(SUMIFS(总表!$S$2:$S$235,总表!$T$2:$T$235,$F10,总表!$E$2:$E$235,$G10,总表!$C$2:$C$235,{"买卖（卖／卖断）","典当／胎借","找贴／凑断","典＋找贴"},总表!$S$2:$S$235,"&gt;0"))/H10,"—")</f>
        <v>150</v>
      </c>
      <c r="J10" s="14">
        <f>IF(H10=0,"—",MIN(IF(COUNTIFS(总表!$T$2:$T$235,$F10,总表!$E$2:$E$235,$G10,总表!$C$2:$C$235,"买卖（卖／卖断）",总表!$S$2:$S$235,"&gt;0")=0,1E+99,_xlfn.MINIFS(总表!$S$2:$S$235,总表!$T$2:$T$235,$F10,总表!$E$2:$E$235,$G10,总表!$C$2:$C$235,"买卖（卖／卖断）",总表!$S$2:$S$235,"&gt;0")),IF(COUNTIFS(总表!$T$2:$T$235,$F10,总表!$E$2:$E$235,$G10,总表!$C$2:$C$235,"典当／胎借",总表!$S$2:$S$235,"&gt;0")=0,1E+99,_xlfn.MINIFS(总表!$S$2:$S$235,总表!$T$2:$T$235,$F10,总表!$E$2:$E$235,$G10,总表!$C$2:$C$235,"典当／胎借",总表!$S$2:$S$235,"&gt;0")),IF(COUNTIFS(总表!$T$2:$T$235,$F10,总表!$E$2:$E$235,$G10,总表!$C$2:$C$235,"找贴／凑断",总表!$S$2:$S$235,"&gt;0")=0,1E+99,_xlfn.MINIFS(总表!$S$2:$S$235,总表!$T$2:$T$235,$F10,总表!$E$2:$E$235,$G10,总表!$C$2:$C$235,"找贴／凑断",总表!$S$2:$S$235,"&gt;0")),IF(COUNTIFS(总表!$T$2:$T$235,$F10,总表!$E$2:$E$235,$G10,总表!$C$2:$C$235,"典＋找贴",总表!$S$2:$S$235,"&gt;0")=0,1E+99,_xlfn.MINIFS(总表!$S$2:$S$235,总表!$T$2:$T$235,$F10,总表!$E$2:$E$235,$G10,总表!$C$2:$C$235,"典＋找贴",总表!$S$2:$S$235,"&gt;0"))))</f>
        <v>150</v>
      </c>
      <c r="K10" s="14">
        <f>IF(H10=0,"—",MAX(_xlfn.MAXIFS(总表!$S$2:$S$235,总表!$T$2:$T$235,$F10,总表!$E$2:$E$235,$G10,总表!$C$2:$C$235,"买卖（卖／卖断）",总表!$S$2:$S$235,"&gt;0"),_xlfn.MAXIFS(总表!$S$2:$S$235,总表!$T$2:$T$235,$F10,总表!$E$2:$E$235,$G10,总表!$C$2:$C$235,"典当／胎借",总表!$S$2:$S$235,"&gt;0"),_xlfn.MAXIFS(总表!$S$2:$S$235,总表!$T$2:$T$235,$F10,总表!$E$2:$E$235,$G10,总表!$C$2:$C$235,"找贴／凑断",总表!$S$2:$S$235,"&gt;0"),_xlfn.MAXIFS(总表!$S$2:$S$235,总表!$T$2:$T$235,$F10,总表!$E$2:$E$235,$G10,总表!$C$2:$C$235,"典＋找贴",总表!$S$2:$S$235,"&gt;0")))</f>
        <v>150</v>
      </c>
    </row>
    <row r="11" spans="1:11" x14ac:dyDescent="0.4">
      <c r="A11" s="1" t="s">
        <v>35</v>
      </c>
      <c r="B11" s="1">
        <f>COUNTIF(总表!$C$2:$C$235,A11)</f>
        <v>12</v>
      </c>
      <c r="C11" s="11">
        <f>IFERROR(B11/COUNTA(总表!$AI$2:$AI$235),0)</f>
        <v>5.128205128205128E-2</v>
      </c>
      <c r="F11" s="1" t="s">
        <v>634</v>
      </c>
      <c r="G11" s="1" t="s">
        <v>560</v>
      </c>
      <c r="H11" s="1">
        <f>SUMPRODUCT(COUNTIFS(总表!$T$2:$T$235,$F11,总表!$E$2:$E$235,$G11,总表!$C$2:$C$235,{"买卖（卖／卖断）","典当／胎借","找贴／凑断","典＋找贴"},总表!$S$2:$S$235,"&gt;0"))</f>
        <v>7</v>
      </c>
      <c r="I11" s="14">
        <f>IFERROR(SUMPRODUCT(SUMIFS(总表!$S$2:$S$235,总表!$T$2:$T$235,$F11,总表!$E$2:$E$235,$G11,总表!$C$2:$C$235,{"买卖（卖／卖断）","典当／胎借","找贴／凑断","典＋找贴"},总表!$S$2:$S$235,"&gt;0"))/H11,"—")</f>
        <v>15.178571428571429</v>
      </c>
      <c r="J11" s="14">
        <f>IF(H11=0,"—",MIN(IF(COUNTIFS(总表!$T$2:$T$235,$F11,总表!$E$2:$E$235,$G11,总表!$C$2:$C$235,"买卖（卖／卖断）",总表!$S$2:$S$235,"&gt;0")=0,1E+99,_xlfn.MINIFS(总表!$S$2:$S$235,总表!$T$2:$T$235,$F11,总表!$E$2:$E$235,$G11,总表!$C$2:$C$235,"买卖（卖／卖断）",总表!$S$2:$S$235,"&gt;0")),IF(COUNTIFS(总表!$T$2:$T$235,$F11,总表!$E$2:$E$235,$G11,总表!$C$2:$C$235,"典当／胎借",总表!$S$2:$S$235,"&gt;0")=0,1E+99,_xlfn.MINIFS(总表!$S$2:$S$235,总表!$T$2:$T$235,$F11,总表!$E$2:$E$235,$G11,总表!$C$2:$C$235,"典当／胎借",总表!$S$2:$S$235,"&gt;0")),IF(COUNTIFS(总表!$T$2:$T$235,$F11,总表!$E$2:$E$235,$G11,总表!$C$2:$C$235,"找贴／凑断",总表!$S$2:$S$235,"&gt;0")=0,1E+99,_xlfn.MINIFS(总表!$S$2:$S$235,总表!$T$2:$T$235,$F11,总表!$E$2:$E$235,$G11,总表!$C$2:$C$235,"找贴／凑断",总表!$S$2:$S$235,"&gt;0")),IF(COUNTIFS(总表!$T$2:$T$235,$F11,总表!$E$2:$E$235,$G11,总表!$C$2:$C$235,"典＋找贴",总表!$S$2:$S$235,"&gt;0")=0,1E+99,_xlfn.MINIFS(总表!$S$2:$S$235,总表!$T$2:$T$235,$F11,总表!$E$2:$E$235,$G11,总表!$C$2:$C$235,"典＋找贴",总表!$S$2:$S$235,"&gt;0"))))</f>
        <v>2.25</v>
      </c>
      <c r="K11" s="14">
        <f>IF(H11=0,"—",MAX(_xlfn.MAXIFS(总表!$S$2:$S$235,总表!$T$2:$T$235,$F11,总表!$E$2:$E$235,$G11,总表!$C$2:$C$235,"买卖（卖／卖断）",总表!$S$2:$S$235,"&gt;0"),_xlfn.MAXIFS(总表!$S$2:$S$235,总表!$T$2:$T$235,$F11,总表!$E$2:$E$235,$G11,总表!$C$2:$C$235,"典当／胎借",总表!$S$2:$S$235,"&gt;0"),_xlfn.MAXIFS(总表!$S$2:$S$235,总表!$T$2:$T$235,$F11,总表!$E$2:$E$235,$G11,总表!$C$2:$C$235,"找贴／凑断",总表!$S$2:$S$235,"&gt;0"),_xlfn.MAXIFS(总表!$S$2:$S$235,总表!$T$2:$T$235,$F11,总表!$E$2:$E$235,$G11,总表!$C$2:$C$235,"典＋找贴",总表!$S$2:$S$235,"&gt;0")))</f>
        <v>60</v>
      </c>
    </row>
    <row r="12" spans="1:11" x14ac:dyDescent="0.4">
      <c r="A12" s="1" t="s">
        <v>272</v>
      </c>
      <c r="B12" s="1">
        <f>COUNTIF(总表!$C$2:$C$235,A12)</f>
        <v>5</v>
      </c>
      <c r="C12" s="11">
        <f>IFERROR(B12/COUNTA(总表!$AI$2:$AI$235),0)</f>
        <v>2.1367521367521368E-2</v>
      </c>
      <c r="F12" s="1" t="s">
        <v>634</v>
      </c>
      <c r="G12" s="1" t="s">
        <v>1559</v>
      </c>
      <c r="H12" s="1">
        <f>SUMPRODUCT(COUNTIFS(总表!$T$2:$T$235,$F12,总表!$E$2:$E$235,$G12,总表!$C$2:$C$235,{"买卖（卖／卖断）","典当／胎借","找贴／凑断","典＋找贴"},总表!$S$2:$S$235,"&gt;0"))</f>
        <v>10</v>
      </c>
      <c r="I12" s="14">
        <f>IFERROR(SUMPRODUCT(SUMIFS(总表!$S$2:$S$235,总表!$T$2:$T$235,$F12,总表!$E$2:$E$235,$G12,总表!$C$2:$C$235,{"买卖（卖／卖断）","典当／胎借","找贴／凑断","典＋找贴"},总表!$S$2:$S$235,"&gt;0"))/H12,"—")</f>
        <v>226.4</v>
      </c>
      <c r="J12" s="14">
        <f>IF(H12=0,"—",MIN(IF(COUNTIFS(总表!$T$2:$T$235,$F12,总表!$E$2:$E$235,$G12,总表!$C$2:$C$235,"买卖（卖／卖断）",总表!$S$2:$S$235,"&gt;0")=0,1E+99,_xlfn.MINIFS(总表!$S$2:$S$235,总表!$T$2:$T$235,$F12,总表!$E$2:$E$235,$G12,总表!$C$2:$C$235,"买卖（卖／卖断）",总表!$S$2:$S$235,"&gt;0")),IF(COUNTIFS(总表!$T$2:$T$235,$F12,总表!$E$2:$E$235,$G12,总表!$C$2:$C$235,"典当／胎借",总表!$S$2:$S$235,"&gt;0")=0,1E+99,_xlfn.MINIFS(总表!$S$2:$S$235,总表!$T$2:$T$235,$F12,总表!$E$2:$E$235,$G12,总表!$C$2:$C$235,"典当／胎借",总表!$S$2:$S$235,"&gt;0")),IF(COUNTIFS(总表!$T$2:$T$235,$F12,总表!$E$2:$E$235,$G12,总表!$C$2:$C$235,"找贴／凑断",总表!$S$2:$S$235,"&gt;0")=0,1E+99,_xlfn.MINIFS(总表!$S$2:$S$235,总表!$T$2:$T$235,$F12,总表!$E$2:$E$235,$G12,总表!$C$2:$C$235,"找贴／凑断",总表!$S$2:$S$235,"&gt;0")),IF(COUNTIFS(总表!$T$2:$T$235,$F12,总表!$E$2:$E$235,$G12,总表!$C$2:$C$235,"典＋找贴",总表!$S$2:$S$235,"&gt;0")=0,1E+99,_xlfn.MINIFS(总表!$S$2:$S$235,总表!$T$2:$T$235,$F12,总表!$E$2:$E$235,$G12,总表!$C$2:$C$235,"典＋找贴",总表!$S$2:$S$235,"&gt;0"))))</f>
        <v>28</v>
      </c>
      <c r="K12" s="14">
        <f>IF(H12=0,"—",MAX(_xlfn.MAXIFS(总表!$S$2:$S$235,总表!$T$2:$T$235,$F12,总表!$E$2:$E$235,$G12,总表!$C$2:$C$235,"买卖（卖／卖断）",总表!$S$2:$S$235,"&gt;0"),_xlfn.MAXIFS(总表!$S$2:$S$235,总表!$T$2:$T$235,$F12,总表!$E$2:$E$235,$G12,总表!$C$2:$C$235,"典当／胎借",总表!$S$2:$S$235,"&gt;0"),_xlfn.MAXIFS(总表!$S$2:$S$235,总表!$T$2:$T$235,$F12,总表!$E$2:$E$235,$G12,总表!$C$2:$C$235,"找贴／凑断",总表!$S$2:$S$235,"&gt;0"),_xlfn.MAXIFS(总表!$S$2:$S$235,总表!$T$2:$T$235,$F12,总表!$E$2:$E$235,$G12,总表!$C$2:$C$235,"典＋找贴",总表!$S$2:$S$235,"&gt;0")))</f>
        <v>721</v>
      </c>
    </row>
    <row r="13" spans="1:11" x14ac:dyDescent="0.4">
      <c r="A13" s="1" t="s">
        <v>380</v>
      </c>
      <c r="B13" s="1">
        <f>COUNTIF(总表!$C$2:$C$235,A13)</f>
        <v>3</v>
      </c>
      <c r="C13" s="11">
        <f>IFERROR(B13/COUNTA(总表!$AI$2:$AI$235),0)</f>
        <v>1.282051282051282E-2</v>
      </c>
      <c r="F13" s="1" t="s">
        <v>634</v>
      </c>
      <c r="G13" s="1" t="s">
        <v>1900</v>
      </c>
      <c r="H13" s="1">
        <f>SUMPRODUCT(COUNTIFS(总表!$T$2:$T$235,$F13,总表!$E$2:$E$235,$G13,总表!$C$2:$C$235,{"买卖（卖／卖断）","典当／胎借","找贴／凑断","典＋找贴"},总表!$S$2:$S$235,"&gt;0"))</f>
        <v>11</v>
      </c>
      <c r="I13" s="14">
        <f>IFERROR(SUMPRODUCT(SUMIFS(总表!$S$2:$S$235,总表!$T$2:$T$235,$F13,总表!$E$2:$E$235,$G13,总表!$C$2:$C$235,{"买卖（卖／卖断）","典当／胎借","找贴／凑断","典＋找贴"},总表!$S$2:$S$235,"&gt;0"))/H13,"—")</f>
        <v>130.36363636363637</v>
      </c>
      <c r="J13" s="14">
        <f>IF(H13=0,"—",MIN(IF(COUNTIFS(总表!$T$2:$T$235,$F13,总表!$E$2:$E$235,$G13,总表!$C$2:$C$235,"买卖（卖／卖断）",总表!$S$2:$S$235,"&gt;0")=0,1E+99,_xlfn.MINIFS(总表!$S$2:$S$235,总表!$T$2:$T$235,$F13,总表!$E$2:$E$235,$G13,总表!$C$2:$C$235,"买卖（卖／卖断）",总表!$S$2:$S$235,"&gt;0")),IF(COUNTIFS(总表!$T$2:$T$235,$F13,总表!$E$2:$E$235,$G13,总表!$C$2:$C$235,"典当／胎借",总表!$S$2:$S$235,"&gt;0")=0,1E+99,_xlfn.MINIFS(总表!$S$2:$S$235,总表!$T$2:$T$235,$F13,总表!$E$2:$E$235,$G13,总表!$C$2:$C$235,"典当／胎借",总表!$S$2:$S$235,"&gt;0")),IF(COUNTIFS(总表!$T$2:$T$235,$F13,总表!$E$2:$E$235,$G13,总表!$C$2:$C$235,"找贴／凑断",总表!$S$2:$S$235,"&gt;0")=0,1E+99,_xlfn.MINIFS(总表!$S$2:$S$235,总表!$T$2:$T$235,$F13,总表!$E$2:$E$235,$G13,总表!$C$2:$C$235,"找贴／凑断",总表!$S$2:$S$235,"&gt;0")),IF(COUNTIFS(总表!$T$2:$T$235,$F13,总表!$E$2:$E$235,$G13,总表!$C$2:$C$235,"典＋找贴",总表!$S$2:$S$235,"&gt;0")=0,1E+99,_xlfn.MINIFS(总表!$S$2:$S$235,总表!$T$2:$T$235,$F13,总表!$E$2:$E$235,$G13,总表!$C$2:$C$235,"典＋找贴",总表!$S$2:$S$235,"&gt;0"))))</f>
        <v>30</v>
      </c>
      <c r="K13" s="14">
        <f>IF(H13=0,"—",MAX(_xlfn.MAXIFS(总表!$S$2:$S$235,总表!$T$2:$T$235,$F13,总表!$E$2:$E$235,$G13,总表!$C$2:$C$235,"买卖（卖／卖断）",总表!$S$2:$S$235,"&gt;0"),_xlfn.MAXIFS(总表!$S$2:$S$235,总表!$T$2:$T$235,$F13,总表!$E$2:$E$235,$G13,总表!$C$2:$C$235,"典当／胎借",总表!$S$2:$S$235,"&gt;0"),_xlfn.MAXIFS(总表!$S$2:$S$235,总表!$T$2:$T$235,$F13,总表!$E$2:$E$235,$G13,总表!$C$2:$C$235,"找贴／凑断",总表!$S$2:$S$235,"&gt;0"),_xlfn.MAXIFS(总表!$S$2:$S$235,总表!$T$2:$T$235,$F13,总表!$E$2:$E$235,$G13,总表!$C$2:$C$235,"典＋找贴",总表!$S$2:$S$235,"&gt;0")))</f>
        <v>240</v>
      </c>
    </row>
    <row r="14" spans="1:11" x14ac:dyDescent="0.4">
      <c r="A14" s="1" t="s">
        <v>477</v>
      </c>
      <c r="B14" s="1">
        <f>COUNTIF(总表!$C$2:$C$235,A14)</f>
        <v>3</v>
      </c>
      <c r="C14" s="11">
        <f>IFERROR(B14/COUNTA(总表!$AI$2:$AI$235),0)</f>
        <v>1.282051282051282E-2</v>
      </c>
      <c r="F14" s="1" t="s">
        <v>634</v>
      </c>
      <c r="G14" s="1" t="s">
        <v>2879</v>
      </c>
      <c r="H14" s="1">
        <f>SUMPRODUCT(COUNTIFS(总表!$T$2:$T$235,$F14,总表!$E$2:$E$235,$G14,总表!$C$2:$C$235,{"买卖（卖／卖断）","典当／胎借","找贴／凑断","典＋找贴"},总表!$S$2:$S$235,"&gt;0"))</f>
        <v>1</v>
      </c>
      <c r="I14" s="14">
        <f>IFERROR(SUMPRODUCT(SUMIFS(总表!$S$2:$S$235,总表!$T$2:$T$235,$F14,总表!$E$2:$E$235,$G14,总表!$C$2:$C$235,{"买卖（卖／卖断）","典当／胎借","找贴／凑断","典＋找贴"},总表!$S$2:$S$235,"&gt;0"))/H14,"—")</f>
        <v>30</v>
      </c>
      <c r="J14" s="14">
        <f>IF(H14=0,"—",MIN(IF(COUNTIFS(总表!$T$2:$T$235,$F14,总表!$E$2:$E$235,$G14,总表!$C$2:$C$235,"买卖（卖／卖断）",总表!$S$2:$S$235,"&gt;0")=0,1E+99,_xlfn.MINIFS(总表!$S$2:$S$235,总表!$T$2:$T$235,$F14,总表!$E$2:$E$235,$G14,总表!$C$2:$C$235,"买卖（卖／卖断）",总表!$S$2:$S$235,"&gt;0")),IF(COUNTIFS(总表!$T$2:$T$235,$F14,总表!$E$2:$E$235,$G14,总表!$C$2:$C$235,"典当／胎借",总表!$S$2:$S$235,"&gt;0")=0,1E+99,_xlfn.MINIFS(总表!$S$2:$S$235,总表!$T$2:$T$235,$F14,总表!$E$2:$E$235,$G14,总表!$C$2:$C$235,"典当／胎借",总表!$S$2:$S$235,"&gt;0")),IF(COUNTIFS(总表!$T$2:$T$235,$F14,总表!$E$2:$E$235,$G14,总表!$C$2:$C$235,"找贴／凑断",总表!$S$2:$S$235,"&gt;0")=0,1E+99,_xlfn.MINIFS(总表!$S$2:$S$235,总表!$T$2:$T$235,$F14,总表!$E$2:$E$235,$G14,总表!$C$2:$C$235,"找贴／凑断",总表!$S$2:$S$235,"&gt;0")),IF(COUNTIFS(总表!$T$2:$T$235,$F14,总表!$E$2:$E$235,$G14,总表!$C$2:$C$235,"典＋找贴",总表!$S$2:$S$235,"&gt;0")=0,1E+99,_xlfn.MINIFS(总表!$S$2:$S$235,总表!$T$2:$T$235,$F14,总表!$E$2:$E$235,$G14,总表!$C$2:$C$235,"典＋找贴",总表!$S$2:$S$235,"&gt;0"))))</f>
        <v>30</v>
      </c>
      <c r="K14" s="14">
        <f>IF(H14=0,"—",MAX(_xlfn.MAXIFS(总表!$S$2:$S$235,总表!$T$2:$T$235,$F14,总表!$E$2:$E$235,$G14,总表!$C$2:$C$235,"买卖（卖／卖断）",总表!$S$2:$S$235,"&gt;0"),_xlfn.MAXIFS(总表!$S$2:$S$235,总表!$T$2:$T$235,$F14,总表!$E$2:$E$235,$G14,总表!$C$2:$C$235,"典当／胎借",总表!$S$2:$S$235,"&gt;0"),_xlfn.MAXIFS(总表!$S$2:$S$235,总表!$T$2:$T$235,$F14,总表!$E$2:$E$235,$G14,总表!$C$2:$C$235,"找贴／凑断",总表!$S$2:$S$235,"&gt;0"),_xlfn.MAXIFS(总表!$S$2:$S$235,总表!$T$2:$T$235,$F14,总表!$E$2:$E$235,$G14,总表!$C$2:$C$235,"典＋找贴",总表!$S$2:$S$235,"&gt;0")))</f>
        <v>30</v>
      </c>
    </row>
    <row r="15" spans="1:11" x14ac:dyDescent="0.4">
      <c r="A15" s="1" t="s">
        <v>491</v>
      </c>
      <c r="B15" s="1">
        <f>COUNTIF(总表!$C$2:$C$235,A15)</f>
        <v>2</v>
      </c>
      <c r="C15" s="11">
        <f>IFERROR(B15/COUNTA(总表!$AI$2:$AI$235),0)</f>
        <v>8.5470085470085479E-3</v>
      </c>
      <c r="F15" s="1" t="s">
        <v>449</v>
      </c>
      <c r="G15" s="1" t="s">
        <v>217</v>
      </c>
      <c r="H15" s="1">
        <f>SUMPRODUCT(COUNTIFS(总表!$T$2:$T$235,$F15,总表!$E$2:$E$235,$G15,总表!$C$2:$C$235,{"买卖（卖／卖断）","典当／胎借","找贴／凑断","典＋找贴"},总表!$S$2:$S$235,"&gt;0"))</f>
        <v>1</v>
      </c>
      <c r="I15" s="14">
        <f>IFERROR(SUMPRODUCT(SUMIFS(总表!$S$2:$S$235,总表!$T$2:$T$235,$F15,总表!$E$2:$E$235,$G15,总表!$C$2:$C$235,{"买卖（卖／卖断）","典当／胎借","找贴／凑断","典＋找贴"},总表!$S$2:$S$235,"&gt;0"))/H15,"—")</f>
        <v>11500</v>
      </c>
      <c r="J15" s="14">
        <f>IF(H15=0,"—",MIN(IF(COUNTIFS(总表!$T$2:$T$235,$F15,总表!$E$2:$E$235,$G15,总表!$C$2:$C$235,"买卖（卖／卖断）",总表!$S$2:$S$235,"&gt;0")=0,1E+99,_xlfn.MINIFS(总表!$S$2:$S$235,总表!$T$2:$T$235,$F15,总表!$E$2:$E$235,$G15,总表!$C$2:$C$235,"买卖（卖／卖断）",总表!$S$2:$S$235,"&gt;0")),IF(COUNTIFS(总表!$T$2:$T$235,$F15,总表!$E$2:$E$235,$G15,总表!$C$2:$C$235,"典当／胎借",总表!$S$2:$S$235,"&gt;0")=0,1E+99,_xlfn.MINIFS(总表!$S$2:$S$235,总表!$T$2:$T$235,$F15,总表!$E$2:$E$235,$G15,总表!$C$2:$C$235,"典当／胎借",总表!$S$2:$S$235,"&gt;0")),IF(COUNTIFS(总表!$T$2:$T$235,$F15,总表!$E$2:$E$235,$G15,总表!$C$2:$C$235,"找贴／凑断",总表!$S$2:$S$235,"&gt;0")=0,1E+99,_xlfn.MINIFS(总表!$S$2:$S$235,总表!$T$2:$T$235,$F15,总表!$E$2:$E$235,$G15,总表!$C$2:$C$235,"找贴／凑断",总表!$S$2:$S$235,"&gt;0")),IF(COUNTIFS(总表!$T$2:$T$235,$F15,总表!$E$2:$E$235,$G15,总表!$C$2:$C$235,"典＋找贴",总表!$S$2:$S$235,"&gt;0")=0,1E+99,_xlfn.MINIFS(总表!$S$2:$S$235,总表!$T$2:$T$235,$F15,总表!$E$2:$E$235,$G15,总表!$C$2:$C$235,"典＋找贴",总表!$S$2:$S$235,"&gt;0"))))</f>
        <v>11500</v>
      </c>
      <c r="K15" s="14">
        <f>IF(H15=0,"—",MAX(_xlfn.MAXIFS(总表!$S$2:$S$235,总表!$T$2:$T$235,$F15,总表!$E$2:$E$235,$G15,总表!$C$2:$C$235,"买卖（卖／卖断）",总表!$S$2:$S$235,"&gt;0"),_xlfn.MAXIFS(总表!$S$2:$S$235,总表!$T$2:$T$235,$F15,总表!$E$2:$E$235,$G15,总表!$C$2:$C$235,"典当／胎借",总表!$S$2:$S$235,"&gt;0"),_xlfn.MAXIFS(总表!$S$2:$S$235,总表!$T$2:$T$235,$F15,总表!$E$2:$E$235,$G15,总表!$C$2:$C$235,"找贴／凑断",总表!$S$2:$S$235,"&gt;0"),_xlfn.MAXIFS(总表!$S$2:$S$235,总表!$T$2:$T$235,$F15,总表!$E$2:$E$235,$G15,总表!$C$2:$C$235,"典＋找贴",总表!$S$2:$S$235,"&gt;0")))</f>
        <v>11500</v>
      </c>
    </row>
    <row r="16" spans="1:11" ht="13.15" x14ac:dyDescent="0.4">
      <c r="A16" s="2" t="s">
        <v>3239</v>
      </c>
      <c r="B16" s="2">
        <f>SUM(B5:B15)</f>
        <v>234</v>
      </c>
      <c r="C16" s="12">
        <f>SUM(C5:C15)</f>
        <v>0.99999999999999989</v>
      </c>
      <c r="F16" s="1" t="s">
        <v>449</v>
      </c>
      <c r="G16" s="1" t="s">
        <v>560</v>
      </c>
      <c r="H16" s="1">
        <f>SUMPRODUCT(COUNTIFS(总表!$T$2:$T$235,$F16,总表!$E$2:$E$235,$G16,总表!$C$2:$C$235,{"买卖（卖／卖断）","典当／胎借","找贴／凑断","典＋找贴"},总表!$S$2:$S$235,"&gt;0"))</f>
        <v>11</v>
      </c>
      <c r="I16" s="14">
        <f>IFERROR(SUMPRODUCT(SUMIFS(总表!$S$2:$S$235,总表!$T$2:$T$235,$F16,总表!$E$2:$E$235,$G16,总表!$C$2:$C$235,{"买卖（卖／卖断）","典当／胎借","找贴／凑断","典＋找贴"},总表!$S$2:$S$235,"&gt;0"))/H16,"—")</f>
        <v>73418.181818181823</v>
      </c>
      <c r="J16" s="14">
        <f>IF(H16=0,"—",MIN(IF(COUNTIFS(总表!$T$2:$T$235,$F16,总表!$E$2:$E$235,$G16,总表!$C$2:$C$235,"买卖（卖／卖断）",总表!$S$2:$S$235,"&gt;0")=0,1E+99,_xlfn.MINIFS(总表!$S$2:$S$235,总表!$T$2:$T$235,$F16,总表!$E$2:$E$235,$G16,总表!$C$2:$C$235,"买卖（卖／卖断）",总表!$S$2:$S$235,"&gt;0")),IF(COUNTIFS(总表!$T$2:$T$235,$F16,总表!$E$2:$E$235,$G16,总表!$C$2:$C$235,"典当／胎借",总表!$S$2:$S$235,"&gt;0")=0,1E+99,_xlfn.MINIFS(总表!$S$2:$S$235,总表!$T$2:$T$235,$F16,总表!$E$2:$E$235,$G16,总表!$C$2:$C$235,"典当／胎借",总表!$S$2:$S$235,"&gt;0")),IF(COUNTIFS(总表!$T$2:$T$235,$F16,总表!$E$2:$E$235,$G16,总表!$C$2:$C$235,"找贴／凑断",总表!$S$2:$S$235,"&gt;0")=0,1E+99,_xlfn.MINIFS(总表!$S$2:$S$235,总表!$T$2:$T$235,$F16,总表!$E$2:$E$235,$G16,总表!$C$2:$C$235,"找贴／凑断",总表!$S$2:$S$235,"&gt;0")),IF(COUNTIFS(总表!$T$2:$T$235,$F16,总表!$E$2:$E$235,$G16,总表!$C$2:$C$235,"典＋找贴",总表!$S$2:$S$235,"&gt;0")=0,1E+99,_xlfn.MINIFS(总表!$S$2:$S$235,总表!$T$2:$T$235,$F16,总表!$E$2:$E$235,$G16,总表!$C$2:$C$235,"典＋找贴",总表!$S$2:$S$235,"&gt;0"))))</f>
        <v>2000</v>
      </c>
      <c r="K16" s="14">
        <f>IF(H16=0,"—",MAX(_xlfn.MAXIFS(总表!$S$2:$S$235,总表!$T$2:$T$235,$F16,总表!$E$2:$E$235,$G16,总表!$C$2:$C$235,"买卖（卖／卖断）",总表!$S$2:$S$235,"&gt;0"),_xlfn.MAXIFS(总表!$S$2:$S$235,总表!$T$2:$T$235,$F16,总表!$E$2:$E$235,$G16,总表!$C$2:$C$235,"典当／胎借",总表!$S$2:$S$235,"&gt;0"),_xlfn.MAXIFS(总表!$S$2:$S$235,总表!$T$2:$T$235,$F16,总表!$E$2:$E$235,$G16,总表!$C$2:$C$235,"找贴／凑断",总表!$S$2:$S$235,"&gt;0"),_xlfn.MAXIFS(总表!$S$2:$S$235,总表!$T$2:$T$235,$F16,总表!$E$2:$E$235,$G16,总表!$C$2:$C$235,"典＋找贴",总表!$S$2:$S$235,"&gt;0")))</f>
        <v>148000</v>
      </c>
    </row>
    <row r="17" spans="1:11" x14ac:dyDescent="0.4">
      <c r="F17" s="1" t="s">
        <v>449</v>
      </c>
      <c r="G17" s="1" t="s">
        <v>1559</v>
      </c>
      <c r="H17" s="1">
        <f>SUMPRODUCT(COUNTIFS(总表!$T$2:$T$235,$F17,总表!$E$2:$E$235,$G17,总表!$C$2:$C$235,{"买卖（卖／卖断）","典当／胎借","找贴／凑断","典＋找贴"},总表!$S$2:$S$235,"&gt;0"))</f>
        <v>1</v>
      </c>
      <c r="I17" s="14">
        <f>IFERROR(SUMPRODUCT(SUMIFS(总表!$S$2:$S$235,总表!$T$2:$T$235,$F17,总表!$E$2:$E$235,$G17,总表!$C$2:$C$235,{"买卖（卖／卖断）","典当／胎借","找贴／凑断","典＋找贴"},总表!$S$2:$S$235,"&gt;0"))/H17,"—")</f>
        <v>64500</v>
      </c>
      <c r="J17" s="14">
        <f>IF(H17=0,"—",MIN(IF(COUNTIFS(总表!$T$2:$T$235,$F17,总表!$E$2:$E$235,$G17,总表!$C$2:$C$235,"买卖（卖／卖断）",总表!$S$2:$S$235,"&gt;0")=0,1E+99,_xlfn.MINIFS(总表!$S$2:$S$235,总表!$T$2:$T$235,$F17,总表!$E$2:$E$235,$G17,总表!$C$2:$C$235,"买卖（卖／卖断）",总表!$S$2:$S$235,"&gt;0")),IF(COUNTIFS(总表!$T$2:$T$235,$F17,总表!$E$2:$E$235,$G17,总表!$C$2:$C$235,"典当／胎借",总表!$S$2:$S$235,"&gt;0")=0,1E+99,_xlfn.MINIFS(总表!$S$2:$S$235,总表!$T$2:$T$235,$F17,总表!$E$2:$E$235,$G17,总表!$C$2:$C$235,"典当／胎借",总表!$S$2:$S$235,"&gt;0")),IF(COUNTIFS(总表!$T$2:$T$235,$F17,总表!$E$2:$E$235,$G17,总表!$C$2:$C$235,"找贴／凑断",总表!$S$2:$S$235,"&gt;0")=0,1E+99,_xlfn.MINIFS(总表!$S$2:$S$235,总表!$T$2:$T$235,$F17,总表!$E$2:$E$235,$G17,总表!$C$2:$C$235,"找贴／凑断",总表!$S$2:$S$235,"&gt;0")),IF(COUNTIFS(总表!$T$2:$T$235,$F17,总表!$E$2:$E$235,$G17,总表!$C$2:$C$235,"典＋找贴",总表!$S$2:$S$235,"&gt;0")=0,1E+99,_xlfn.MINIFS(总表!$S$2:$S$235,总表!$T$2:$T$235,$F17,总表!$E$2:$E$235,$G17,总表!$C$2:$C$235,"典＋找贴",总表!$S$2:$S$235,"&gt;0"))))</f>
        <v>64500</v>
      </c>
      <c r="K17" s="14">
        <f>IF(H17=0,"—",MAX(_xlfn.MAXIFS(总表!$S$2:$S$235,总表!$T$2:$T$235,$F17,总表!$E$2:$E$235,$G17,总表!$C$2:$C$235,"买卖（卖／卖断）",总表!$S$2:$S$235,"&gt;0"),_xlfn.MAXIFS(总表!$S$2:$S$235,总表!$T$2:$T$235,$F17,总表!$E$2:$E$235,$G17,总表!$C$2:$C$235,"典当／胎借",总表!$S$2:$S$235,"&gt;0"),_xlfn.MAXIFS(总表!$S$2:$S$235,总表!$T$2:$T$235,$F17,总表!$E$2:$E$235,$G17,总表!$C$2:$C$235,"找贴／凑断",总表!$S$2:$S$235,"&gt;0"),_xlfn.MAXIFS(总表!$S$2:$S$235,总表!$T$2:$T$235,$F17,总表!$E$2:$E$235,$G17,总表!$C$2:$C$235,"典＋找贴",总表!$S$2:$S$235,"&gt;0")))</f>
        <v>64500</v>
      </c>
    </row>
    <row r="18" spans="1:11" ht="15" x14ac:dyDescent="0.4">
      <c r="A18" s="9" t="s">
        <v>3240</v>
      </c>
      <c r="F18" s="1" t="s">
        <v>449</v>
      </c>
      <c r="G18" s="1" t="s">
        <v>1900</v>
      </c>
      <c r="H18" s="1">
        <f>SUMPRODUCT(COUNTIFS(总表!$T$2:$T$235,$F18,总表!$E$2:$E$235,$G18,总表!$C$2:$C$235,{"买卖（卖／卖断）","典当／胎借","找贴／凑断","典＋找贴"},总表!$S$2:$S$235,"&gt;0"))</f>
        <v>3</v>
      </c>
      <c r="I18" s="14">
        <f>IFERROR(SUMPRODUCT(SUMIFS(总表!$S$2:$S$235,总表!$T$2:$T$235,$F18,总表!$E$2:$E$235,$G18,总表!$C$2:$C$235,{"买卖（卖／卖断）","典当／胎借","找贴／凑断","典＋找贴"},总表!$S$2:$S$235,"&gt;0"))/H18,"—")</f>
        <v>34366.666666666664</v>
      </c>
      <c r="J18" s="14">
        <f>IF(H18=0,"—",MIN(IF(COUNTIFS(总表!$T$2:$T$235,$F18,总表!$E$2:$E$235,$G18,总表!$C$2:$C$235,"买卖（卖／卖断）",总表!$S$2:$S$235,"&gt;0")=0,1E+99,_xlfn.MINIFS(总表!$S$2:$S$235,总表!$T$2:$T$235,$F18,总表!$E$2:$E$235,$G18,总表!$C$2:$C$235,"买卖（卖／卖断）",总表!$S$2:$S$235,"&gt;0")),IF(COUNTIFS(总表!$T$2:$T$235,$F18,总表!$E$2:$E$235,$G18,总表!$C$2:$C$235,"典当／胎借",总表!$S$2:$S$235,"&gt;0")=0,1E+99,_xlfn.MINIFS(总表!$S$2:$S$235,总表!$T$2:$T$235,$F18,总表!$E$2:$E$235,$G18,总表!$C$2:$C$235,"典当／胎借",总表!$S$2:$S$235,"&gt;0")),IF(COUNTIFS(总表!$T$2:$T$235,$F18,总表!$E$2:$E$235,$G18,总表!$C$2:$C$235,"找贴／凑断",总表!$S$2:$S$235,"&gt;0")=0,1E+99,_xlfn.MINIFS(总表!$S$2:$S$235,总表!$T$2:$T$235,$F18,总表!$E$2:$E$235,$G18,总表!$C$2:$C$235,"找贴／凑断",总表!$S$2:$S$235,"&gt;0")),IF(COUNTIFS(总表!$T$2:$T$235,$F18,总表!$E$2:$E$235,$G18,总表!$C$2:$C$235,"典＋找贴",总表!$S$2:$S$235,"&gt;0")=0,1E+99,_xlfn.MINIFS(总表!$S$2:$S$235,总表!$T$2:$T$235,$F18,总表!$E$2:$E$235,$G18,总表!$C$2:$C$235,"典＋找贴",总表!$S$2:$S$235,"&gt;0"))))</f>
        <v>11500</v>
      </c>
      <c r="K18" s="14">
        <f>IF(H18=0,"—",MAX(_xlfn.MAXIFS(总表!$S$2:$S$235,总表!$T$2:$T$235,$F18,总表!$E$2:$E$235,$G18,总表!$C$2:$C$235,"买卖（卖／卖断）",总表!$S$2:$S$235,"&gt;0"),_xlfn.MAXIFS(总表!$S$2:$S$235,总表!$T$2:$T$235,$F18,总表!$E$2:$E$235,$G18,总表!$C$2:$C$235,"典当／胎借",总表!$S$2:$S$235,"&gt;0"),_xlfn.MAXIFS(总表!$S$2:$S$235,总表!$T$2:$T$235,$F18,总表!$E$2:$E$235,$G18,总表!$C$2:$C$235,"找贴／凑断",总表!$S$2:$S$235,"&gt;0"),_xlfn.MAXIFS(总表!$S$2:$S$235,总表!$T$2:$T$235,$F18,总表!$E$2:$E$235,$G18,总表!$C$2:$C$235,"典＋找贴",总表!$S$2:$S$235,"&gt;0")))</f>
        <v>68600</v>
      </c>
    </row>
    <row r="19" spans="1:11" ht="13.15" x14ac:dyDescent="0.4">
      <c r="A19" s="10" t="s">
        <v>3236</v>
      </c>
      <c r="B19" s="10" t="s">
        <v>3237</v>
      </c>
      <c r="C19" s="10" t="s">
        <v>3238</v>
      </c>
      <c r="F19" s="1" t="s">
        <v>468</v>
      </c>
      <c r="G19" s="1" t="s">
        <v>217</v>
      </c>
      <c r="H19" s="1">
        <f>SUMPRODUCT(COUNTIFS(总表!$T$2:$T$235,$F19,总表!$E$2:$E$235,$G19,总表!$C$2:$C$235,{"买卖（卖／卖断）","典当／胎借","找贴／凑断","典＋找贴"},总表!$S$2:$S$235,"&gt;0"))</f>
        <v>1</v>
      </c>
      <c r="I19" s="14">
        <f>IFERROR(SUMPRODUCT(SUMIFS(总表!$S$2:$S$235,总表!$T$2:$T$235,$F19,总表!$E$2:$E$235,$G19,总表!$C$2:$C$235,{"买卖（卖／卖断）","典当／胎借","找贴／凑断","典＋找贴"},总表!$S$2:$S$235,"&gt;0"))/H19,"—")</f>
        <v>6</v>
      </c>
      <c r="J19" s="14">
        <f>IF(H19=0,"—",MIN(IF(COUNTIFS(总表!$T$2:$T$235,$F19,总表!$E$2:$E$235,$G19,总表!$C$2:$C$235,"买卖（卖／卖断）",总表!$S$2:$S$235,"&gt;0")=0,1E+99,_xlfn.MINIFS(总表!$S$2:$S$235,总表!$T$2:$T$235,$F19,总表!$E$2:$E$235,$G19,总表!$C$2:$C$235,"买卖（卖／卖断）",总表!$S$2:$S$235,"&gt;0")),IF(COUNTIFS(总表!$T$2:$T$235,$F19,总表!$E$2:$E$235,$G19,总表!$C$2:$C$235,"典当／胎借",总表!$S$2:$S$235,"&gt;0")=0,1E+99,_xlfn.MINIFS(总表!$S$2:$S$235,总表!$T$2:$T$235,$F19,总表!$E$2:$E$235,$G19,总表!$C$2:$C$235,"典当／胎借",总表!$S$2:$S$235,"&gt;0")),IF(COUNTIFS(总表!$T$2:$T$235,$F19,总表!$E$2:$E$235,$G19,总表!$C$2:$C$235,"找贴／凑断",总表!$S$2:$S$235,"&gt;0")=0,1E+99,_xlfn.MINIFS(总表!$S$2:$S$235,总表!$T$2:$T$235,$F19,总表!$E$2:$E$235,$G19,总表!$C$2:$C$235,"找贴／凑断",总表!$S$2:$S$235,"&gt;0")),IF(COUNTIFS(总表!$T$2:$T$235,$F19,总表!$E$2:$E$235,$G19,总表!$C$2:$C$235,"典＋找贴",总表!$S$2:$S$235,"&gt;0")=0,1E+99,_xlfn.MINIFS(总表!$S$2:$S$235,总表!$T$2:$T$235,$F19,总表!$E$2:$E$235,$G19,总表!$C$2:$C$235,"典＋找贴",总表!$S$2:$S$235,"&gt;0"))))</f>
        <v>6</v>
      </c>
      <c r="K19" s="14">
        <f>IF(H19=0,"—",MAX(_xlfn.MAXIFS(总表!$S$2:$S$235,总表!$T$2:$T$235,$F19,总表!$E$2:$E$235,$G19,总表!$C$2:$C$235,"买卖（卖／卖断）",总表!$S$2:$S$235,"&gt;0"),_xlfn.MAXIFS(总表!$S$2:$S$235,总表!$T$2:$T$235,$F19,总表!$E$2:$E$235,$G19,总表!$C$2:$C$235,"典当／胎借",总表!$S$2:$S$235,"&gt;0"),_xlfn.MAXIFS(总表!$S$2:$S$235,总表!$T$2:$T$235,$F19,总表!$E$2:$E$235,$G19,总表!$C$2:$C$235,"找贴／凑断",总表!$S$2:$S$235,"&gt;0"),_xlfn.MAXIFS(总表!$S$2:$S$235,总表!$T$2:$T$235,$F19,总表!$E$2:$E$235,$G19,总表!$C$2:$C$235,"典＋找贴",总表!$S$2:$S$235,"&gt;0")))</f>
        <v>6</v>
      </c>
    </row>
    <row r="20" spans="1:11" x14ac:dyDescent="0.4">
      <c r="A20" s="1" t="s">
        <v>37</v>
      </c>
      <c r="B20" s="1">
        <f>COUNTIF(总表!$E$2:$E$235,A20)</f>
        <v>1</v>
      </c>
      <c r="C20" s="11">
        <f>IFERROR(B20/COUNTA(总表!$AI$2:$AI$235),0)</f>
        <v>4.2735042735042739E-3</v>
      </c>
      <c r="F20" s="1" t="s">
        <v>468</v>
      </c>
      <c r="G20" s="1" t="s">
        <v>560</v>
      </c>
      <c r="H20" s="1">
        <f>SUMPRODUCT(COUNTIFS(总表!$T$2:$T$235,$F20,总表!$E$2:$E$235,$G20,总表!$C$2:$C$235,{"买卖（卖／卖断）","典当／胎借","找贴／凑断","典＋找贴"},总表!$S$2:$S$235,"&gt;0"))</f>
        <v>1</v>
      </c>
      <c r="I20" s="14">
        <f>IFERROR(SUMPRODUCT(SUMIFS(总表!$S$2:$S$235,总表!$T$2:$T$235,$F20,总表!$E$2:$E$235,$G20,总表!$C$2:$C$235,{"买卖（卖／卖断）","典当／胎借","找贴／凑断","典＋找贴"},总表!$S$2:$S$235,"&gt;0"))/H20,"—")</f>
        <v>70</v>
      </c>
      <c r="J20" s="14">
        <f>IF(H20=0,"—",MIN(IF(COUNTIFS(总表!$T$2:$T$235,$F20,总表!$E$2:$E$235,$G20,总表!$C$2:$C$235,"买卖（卖／卖断）",总表!$S$2:$S$235,"&gt;0")=0,1E+99,_xlfn.MINIFS(总表!$S$2:$S$235,总表!$T$2:$T$235,$F20,总表!$E$2:$E$235,$G20,总表!$C$2:$C$235,"买卖（卖／卖断）",总表!$S$2:$S$235,"&gt;0")),IF(COUNTIFS(总表!$T$2:$T$235,$F20,总表!$E$2:$E$235,$G20,总表!$C$2:$C$235,"典当／胎借",总表!$S$2:$S$235,"&gt;0")=0,1E+99,_xlfn.MINIFS(总表!$S$2:$S$235,总表!$T$2:$T$235,$F20,总表!$E$2:$E$235,$G20,总表!$C$2:$C$235,"典当／胎借",总表!$S$2:$S$235,"&gt;0")),IF(COUNTIFS(总表!$T$2:$T$235,$F20,总表!$E$2:$E$235,$G20,总表!$C$2:$C$235,"找贴／凑断",总表!$S$2:$S$235,"&gt;0")=0,1E+99,_xlfn.MINIFS(总表!$S$2:$S$235,总表!$T$2:$T$235,$F20,总表!$E$2:$E$235,$G20,总表!$C$2:$C$235,"找贴／凑断",总表!$S$2:$S$235,"&gt;0")),IF(COUNTIFS(总表!$T$2:$T$235,$F20,总表!$E$2:$E$235,$G20,总表!$C$2:$C$235,"典＋找贴",总表!$S$2:$S$235,"&gt;0")=0,1E+99,_xlfn.MINIFS(总表!$S$2:$S$235,总表!$T$2:$T$235,$F20,总表!$E$2:$E$235,$G20,总表!$C$2:$C$235,"典＋找贴",总表!$S$2:$S$235,"&gt;0"))))</f>
        <v>70</v>
      </c>
      <c r="K20" s="14">
        <f>IF(H20=0,"—",MAX(_xlfn.MAXIFS(总表!$S$2:$S$235,总表!$T$2:$T$235,$F20,总表!$E$2:$E$235,$G20,总表!$C$2:$C$235,"买卖（卖／卖断）",总表!$S$2:$S$235,"&gt;0"),_xlfn.MAXIFS(总表!$S$2:$S$235,总表!$T$2:$T$235,$F20,总表!$E$2:$E$235,$G20,总表!$C$2:$C$235,"典当／胎借",总表!$S$2:$S$235,"&gt;0"),_xlfn.MAXIFS(总表!$S$2:$S$235,总表!$T$2:$T$235,$F20,总表!$E$2:$E$235,$G20,总表!$C$2:$C$235,"找贴／凑断",总表!$S$2:$S$235,"&gt;0"),_xlfn.MAXIFS(总表!$S$2:$S$235,总表!$T$2:$T$235,$F20,总表!$E$2:$E$235,$G20,总表!$C$2:$C$235,"典＋找贴",总表!$S$2:$S$235,"&gt;0")))</f>
        <v>70</v>
      </c>
    </row>
    <row r="21" spans="1:11" x14ac:dyDescent="0.4">
      <c r="A21" s="1" t="s">
        <v>55</v>
      </c>
      <c r="B21" s="1">
        <f>COUNTIF(总表!$E$2:$E$235,A21)</f>
        <v>9</v>
      </c>
      <c r="C21" s="11">
        <f>IFERROR(B21/COUNTA(总表!$AI$2:$AI$235),0)</f>
        <v>3.8461538461538464E-2</v>
      </c>
      <c r="F21" s="1" t="s">
        <v>468</v>
      </c>
      <c r="G21" s="1" t="s">
        <v>1559</v>
      </c>
      <c r="H21" s="1">
        <f>SUMPRODUCT(COUNTIFS(总表!$T$2:$T$235,$F21,总表!$E$2:$E$235,$G21,总表!$C$2:$C$235,{"买卖（卖／卖断）","典当／胎借","找贴／凑断","典＋找贴"},总表!$S$2:$S$235,"&gt;0"))</f>
        <v>2</v>
      </c>
      <c r="I21" s="14">
        <f>IFERROR(SUMPRODUCT(SUMIFS(总表!$S$2:$S$235,总表!$T$2:$T$235,$F21,总表!$E$2:$E$235,$G21,总表!$C$2:$C$235,{"买卖（卖／卖断）","典当／胎借","找贴／凑断","典＋找贴"},总表!$S$2:$S$235,"&gt;0"))/H21,"—")</f>
        <v>112.5</v>
      </c>
      <c r="J21" s="14">
        <f>IF(H21=0,"—",MIN(IF(COUNTIFS(总表!$T$2:$T$235,$F21,总表!$E$2:$E$235,$G21,总表!$C$2:$C$235,"买卖（卖／卖断）",总表!$S$2:$S$235,"&gt;0")=0,1E+99,_xlfn.MINIFS(总表!$S$2:$S$235,总表!$T$2:$T$235,$F21,总表!$E$2:$E$235,$G21,总表!$C$2:$C$235,"买卖（卖／卖断）",总表!$S$2:$S$235,"&gt;0")),IF(COUNTIFS(总表!$T$2:$T$235,$F21,总表!$E$2:$E$235,$G21,总表!$C$2:$C$235,"典当／胎借",总表!$S$2:$S$235,"&gt;0")=0,1E+99,_xlfn.MINIFS(总表!$S$2:$S$235,总表!$T$2:$T$235,$F21,总表!$E$2:$E$235,$G21,总表!$C$2:$C$235,"典当／胎借",总表!$S$2:$S$235,"&gt;0")),IF(COUNTIFS(总表!$T$2:$T$235,$F21,总表!$E$2:$E$235,$G21,总表!$C$2:$C$235,"找贴／凑断",总表!$S$2:$S$235,"&gt;0")=0,1E+99,_xlfn.MINIFS(总表!$S$2:$S$235,总表!$T$2:$T$235,$F21,总表!$E$2:$E$235,$G21,总表!$C$2:$C$235,"找贴／凑断",总表!$S$2:$S$235,"&gt;0")),IF(COUNTIFS(总表!$T$2:$T$235,$F21,总表!$E$2:$E$235,$G21,总表!$C$2:$C$235,"典＋找贴",总表!$S$2:$S$235,"&gt;0")=0,1E+99,_xlfn.MINIFS(总表!$S$2:$S$235,总表!$T$2:$T$235,$F21,总表!$E$2:$E$235,$G21,总表!$C$2:$C$235,"典＋找贴",总表!$S$2:$S$235,"&gt;0"))))</f>
        <v>27</v>
      </c>
      <c r="K21" s="14">
        <f>IF(H21=0,"—",MAX(_xlfn.MAXIFS(总表!$S$2:$S$235,总表!$T$2:$T$235,$F21,总表!$E$2:$E$235,$G21,总表!$C$2:$C$235,"买卖（卖／卖断）",总表!$S$2:$S$235,"&gt;0"),_xlfn.MAXIFS(总表!$S$2:$S$235,总表!$T$2:$T$235,$F21,总表!$E$2:$E$235,$G21,总表!$C$2:$C$235,"典当／胎借",总表!$S$2:$S$235,"&gt;0"),_xlfn.MAXIFS(总表!$S$2:$S$235,总表!$T$2:$T$235,$F21,总表!$E$2:$E$235,$G21,总表!$C$2:$C$235,"找贴／凑断",总表!$S$2:$S$235,"&gt;0"),_xlfn.MAXIFS(总表!$S$2:$S$235,总表!$T$2:$T$235,$F21,总表!$E$2:$E$235,$G21,总表!$C$2:$C$235,"典＋找贴",总表!$S$2:$S$235,"&gt;0")))</f>
        <v>198</v>
      </c>
    </row>
    <row r="22" spans="1:11" x14ac:dyDescent="0.4">
      <c r="A22" s="1" t="s">
        <v>217</v>
      </c>
      <c r="B22" s="1">
        <f>COUNTIF(总表!$E$2:$E$235,A22)</f>
        <v>24</v>
      </c>
      <c r="C22" s="11">
        <f>IFERROR(B22/COUNTA(总表!$AI$2:$AI$235),0)</f>
        <v>0.10256410256410256</v>
      </c>
      <c r="F22" s="1" t="s">
        <v>468</v>
      </c>
      <c r="G22" s="1" t="s">
        <v>1900</v>
      </c>
      <c r="H22" s="1">
        <f>SUMPRODUCT(COUNTIFS(总表!$T$2:$T$235,$F22,总表!$E$2:$E$235,$G22,总表!$C$2:$C$235,{"买卖（卖／卖断）","典当／胎借","找贴／凑断","典＋找贴"},总表!$S$2:$S$235,"&gt;0"))</f>
        <v>1</v>
      </c>
      <c r="I22" s="14">
        <f>IFERROR(SUMPRODUCT(SUMIFS(总表!$S$2:$S$235,总表!$T$2:$T$235,$F22,总表!$E$2:$E$235,$G22,总表!$C$2:$C$235,{"买卖（卖／卖断）","典当／胎借","找贴／凑断","典＋找贴"},总表!$S$2:$S$235,"&gt;0"))/H22,"—")</f>
        <v>40</v>
      </c>
      <c r="J22" s="14">
        <f>IF(H22=0,"—",MIN(IF(COUNTIFS(总表!$T$2:$T$235,$F22,总表!$E$2:$E$235,$G22,总表!$C$2:$C$235,"买卖（卖／卖断）",总表!$S$2:$S$235,"&gt;0")=0,1E+99,_xlfn.MINIFS(总表!$S$2:$S$235,总表!$T$2:$T$235,$F22,总表!$E$2:$E$235,$G22,总表!$C$2:$C$235,"买卖（卖／卖断）",总表!$S$2:$S$235,"&gt;0")),IF(COUNTIFS(总表!$T$2:$T$235,$F22,总表!$E$2:$E$235,$G22,总表!$C$2:$C$235,"典当／胎借",总表!$S$2:$S$235,"&gt;0")=0,1E+99,_xlfn.MINIFS(总表!$S$2:$S$235,总表!$T$2:$T$235,$F22,总表!$E$2:$E$235,$G22,总表!$C$2:$C$235,"典当／胎借",总表!$S$2:$S$235,"&gt;0")),IF(COUNTIFS(总表!$T$2:$T$235,$F22,总表!$E$2:$E$235,$G22,总表!$C$2:$C$235,"找贴／凑断",总表!$S$2:$S$235,"&gt;0")=0,1E+99,_xlfn.MINIFS(总表!$S$2:$S$235,总表!$T$2:$T$235,$F22,总表!$E$2:$E$235,$G22,总表!$C$2:$C$235,"找贴／凑断",总表!$S$2:$S$235,"&gt;0")),IF(COUNTIFS(总表!$T$2:$T$235,$F22,总表!$E$2:$E$235,$G22,总表!$C$2:$C$235,"典＋找贴",总表!$S$2:$S$235,"&gt;0")=0,1E+99,_xlfn.MINIFS(总表!$S$2:$S$235,总表!$T$2:$T$235,$F22,总表!$E$2:$E$235,$G22,总表!$C$2:$C$235,"典＋找贴",总表!$S$2:$S$235,"&gt;0"))))</f>
        <v>40</v>
      </c>
      <c r="K22" s="14">
        <f>IF(H22=0,"—",MAX(_xlfn.MAXIFS(总表!$S$2:$S$235,总表!$T$2:$T$235,$F22,总表!$E$2:$E$235,$G22,总表!$C$2:$C$235,"买卖（卖／卖断）",总表!$S$2:$S$235,"&gt;0"),_xlfn.MAXIFS(总表!$S$2:$S$235,总表!$T$2:$T$235,$F22,总表!$E$2:$E$235,$G22,总表!$C$2:$C$235,"典当／胎借",总表!$S$2:$S$235,"&gt;0"),_xlfn.MAXIFS(总表!$S$2:$S$235,总表!$T$2:$T$235,$F22,总表!$E$2:$E$235,$G22,总表!$C$2:$C$235,"找贴／凑断",总表!$S$2:$S$235,"&gt;0"),_xlfn.MAXIFS(总表!$S$2:$S$235,总表!$T$2:$T$235,$F22,总表!$E$2:$E$235,$G22,总表!$C$2:$C$235,"典＋找贴",总表!$S$2:$S$235,"&gt;0")))</f>
        <v>40</v>
      </c>
    </row>
    <row r="23" spans="1:11" x14ac:dyDescent="0.4">
      <c r="A23" s="1" t="s">
        <v>560</v>
      </c>
      <c r="B23" s="1">
        <f>COUNTIF(总表!$E$2:$E$235,A23)</f>
        <v>68</v>
      </c>
      <c r="C23" s="11">
        <f>IFERROR(B23/COUNTA(总表!$AI$2:$AI$235),0)</f>
        <v>0.29059829059829062</v>
      </c>
      <c r="F23" s="1" t="s">
        <v>2561</v>
      </c>
      <c r="G23" s="1" t="s">
        <v>1900</v>
      </c>
      <c r="H23" s="1">
        <f>SUMPRODUCT(COUNTIFS(总表!$T$2:$T$235,$F23,总表!$E$2:$E$235,$G23,总表!$C$2:$C$235,{"买卖（卖／卖断）","典当／胎借","找贴／凑断","典＋找贴"},总表!$S$2:$S$235,"&gt;0"))</f>
        <v>9</v>
      </c>
      <c r="I23" s="14">
        <f>IFERROR(SUMPRODUCT(SUMIFS(总表!$S$2:$S$235,总表!$T$2:$T$235,$F23,总表!$E$2:$E$235,$G23,总表!$C$2:$C$235,{"买卖（卖／卖断）","典当／胎借","找贴／凑断","典＋找贴"},总表!$S$2:$S$235,"&gt;0"))/H23,"—")</f>
        <v>112581.66666666667</v>
      </c>
      <c r="J23" s="14">
        <f>IF(H23=0,"—",MIN(IF(COUNTIFS(总表!$T$2:$T$235,$F23,总表!$E$2:$E$235,$G23,总表!$C$2:$C$235,"买卖（卖／卖断）",总表!$S$2:$S$235,"&gt;0")=0,1E+99,_xlfn.MINIFS(总表!$S$2:$S$235,总表!$T$2:$T$235,$F23,总表!$E$2:$E$235,$G23,总表!$C$2:$C$235,"买卖（卖／卖断）",总表!$S$2:$S$235,"&gt;0")),IF(COUNTIFS(总表!$T$2:$T$235,$F23,总表!$E$2:$E$235,$G23,总表!$C$2:$C$235,"典当／胎借",总表!$S$2:$S$235,"&gt;0")=0,1E+99,_xlfn.MINIFS(总表!$S$2:$S$235,总表!$T$2:$T$235,$F23,总表!$E$2:$E$235,$G23,总表!$C$2:$C$235,"典当／胎借",总表!$S$2:$S$235,"&gt;0")),IF(COUNTIFS(总表!$T$2:$T$235,$F23,总表!$E$2:$E$235,$G23,总表!$C$2:$C$235,"找贴／凑断",总表!$S$2:$S$235,"&gt;0")=0,1E+99,_xlfn.MINIFS(总表!$S$2:$S$235,总表!$T$2:$T$235,$F23,总表!$E$2:$E$235,$G23,总表!$C$2:$C$235,"找贴／凑断",总表!$S$2:$S$235,"&gt;0")),IF(COUNTIFS(总表!$T$2:$T$235,$F23,总表!$E$2:$E$235,$G23,总表!$C$2:$C$235,"典＋找贴",总表!$S$2:$S$235,"&gt;0")=0,1E+99,_xlfn.MINIFS(总表!$S$2:$S$235,总表!$T$2:$T$235,$F23,总表!$E$2:$E$235,$G23,总表!$C$2:$C$235,"典＋找贴",总表!$S$2:$S$235,"&gt;0"))))</f>
        <v>60</v>
      </c>
      <c r="K23" s="14">
        <f>IF(H23=0,"—",MAX(_xlfn.MAXIFS(总表!$S$2:$S$235,总表!$T$2:$T$235,$F23,总表!$E$2:$E$235,$G23,总表!$C$2:$C$235,"买卖（卖／卖断）",总表!$S$2:$S$235,"&gt;0"),_xlfn.MAXIFS(总表!$S$2:$S$235,总表!$T$2:$T$235,$F23,总表!$E$2:$E$235,$G23,总表!$C$2:$C$235,"典当／胎借",总表!$S$2:$S$235,"&gt;0"),_xlfn.MAXIFS(总表!$S$2:$S$235,总表!$T$2:$T$235,$F23,总表!$E$2:$E$235,$G23,总表!$C$2:$C$235,"找贴／凑断",总表!$S$2:$S$235,"&gt;0"),_xlfn.MAXIFS(总表!$S$2:$S$235,总表!$T$2:$T$235,$F23,总表!$E$2:$E$235,$G23,总表!$C$2:$C$235,"典＋找贴",总表!$S$2:$S$235,"&gt;0")))</f>
        <v>1000000</v>
      </c>
    </row>
    <row r="24" spans="1:11" x14ac:dyDescent="0.4">
      <c r="A24" s="1" t="s">
        <v>1559</v>
      </c>
      <c r="B24" s="1">
        <f>COUNTIF(总表!$E$2:$E$235,A24)</f>
        <v>41</v>
      </c>
      <c r="C24" s="11">
        <f>IFERROR(B24/COUNTA(总表!$AI$2:$AI$235),0)</f>
        <v>0.1752136752136752</v>
      </c>
      <c r="F24" s="1" t="s">
        <v>3018</v>
      </c>
      <c r="G24" s="1" t="s">
        <v>2879</v>
      </c>
      <c r="H24" s="1">
        <f>SUMPRODUCT(COUNTIFS(总表!$T$2:$T$235,$F24,总表!$E$2:$E$235,$G24,总表!$C$2:$C$235,{"买卖（卖／卖断）","典当／胎借","找贴／凑断","典＋找贴"},总表!$S$2:$S$235,"&gt;0"))</f>
        <v>6</v>
      </c>
      <c r="I24" s="14">
        <f>IFERROR(SUMPRODUCT(SUMIFS(总表!$S$2:$S$235,总表!$T$2:$T$235,$F24,总表!$E$2:$E$235,$G24,总表!$C$2:$C$235,{"买卖（卖／卖断）","典当／胎借","找贴／凑断","典＋找贴"},总表!$S$2:$S$235,"&gt;0"))/H24,"—")</f>
        <v>680000</v>
      </c>
      <c r="J24" s="14">
        <f>IF(H24=0,"—",MIN(IF(COUNTIFS(总表!$T$2:$T$235,$F24,总表!$E$2:$E$235,$G24,总表!$C$2:$C$235,"买卖（卖／卖断）",总表!$S$2:$S$235,"&gt;0")=0,1E+99,_xlfn.MINIFS(总表!$S$2:$S$235,总表!$T$2:$T$235,$F24,总表!$E$2:$E$235,$G24,总表!$C$2:$C$235,"买卖（卖／卖断）",总表!$S$2:$S$235,"&gt;0")),IF(COUNTIFS(总表!$T$2:$T$235,$F24,总表!$E$2:$E$235,$G24,总表!$C$2:$C$235,"典当／胎借",总表!$S$2:$S$235,"&gt;0")=0,1E+99,_xlfn.MINIFS(总表!$S$2:$S$235,总表!$T$2:$T$235,$F24,总表!$E$2:$E$235,$G24,总表!$C$2:$C$235,"典当／胎借",总表!$S$2:$S$235,"&gt;0")),IF(COUNTIFS(总表!$T$2:$T$235,$F24,总表!$E$2:$E$235,$G24,总表!$C$2:$C$235,"找贴／凑断",总表!$S$2:$S$235,"&gt;0")=0,1E+99,_xlfn.MINIFS(总表!$S$2:$S$235,总表!$T$2:$T$235,$F24,总表!$E$2:$E$235,$G24,总表!$C$2:$C$235,"找贴／凑断",总表!$S$2:$S$235,"&gt;0")),IF(COUNTIFS(总表!$T$2:$T$235,$F24,总表!$E$2:$E$235,$G24,总表!$C$2:$C$235,"典＋找贴",总表!$S$2:$S$235,"&gt;0")=0,1E+99,_xlfn.MINIFS(总表!$S$2:$S$235,总表!$T$2:$T$235,$F24,总表!$E$2:$E$235,$G24,总表!$C$2:$C$235,"典＋找贴",总表!$S$2:$S$235,"&gt;0"))))</f>
        <v>230000</v>
      </c>
      <c r="K24" s="14">
        <f>IF(H24=0,"—",MAX(_xlfn.MAXIFS(总表!$S$2:$S$235,总表!$T$2:$T$235,$F24,总表!$E$2:$E$235,$G24,总表!$C$2:$C$235,"买卖（卖／卖断）",总表!$S$2:$S$235,"&gt;0"),_xlfn.MAXIFS(总表!$S$2:$S$235,总表!$T$2:$T$235,$F24,总表!$E$2:$E$235,$G24,总表!$C$2:$C$235,"典当／胎借",总表!$S$2:$S$235,"&gt;0"),_xlfn.MAXIFS(总表!$S$2:$S$235,总表!$T$2:$T$235,$F24,总表!$E$2:$E$235,$G24,总表!$C$2:$C$235,"找贴／凑断",总表!$S$2:$S$235,"&gt;0"),_xlfn.MAXIFS(总表!$S$2:$S$235,总表!$T$2:$T$235,$F24,总表!$E$2:$E$235,$G24,总表!$C$2:$C$235,"典＋找贴",总表!$S$2:$S$235,"&gt;0")))</f>
        <v>1600000</v>
      </c>
    </row>
    <row r="25" spans="1:11" x14ac:dyDescent="0.4">
      <c r="A25" s="1" t="s">
        <v>1900</v>
      </c>
      <c r="B25" s="1">
        <f>COUNTIF(总表!$E$2:$E$235,A25)</f>
        <v>64</v>
      </c>
      <c r="C25" s="11">
        <f>IFERROR(B25/COUNTA(总表!$AI$2:$AI$235),0)</f>
        <v>0.27350427350427353</v>
      </c>
      <c r="I25" s="14"/>
      <c r="J25" s="14"/>
      <c r="K25" s="14"/>
    </row>
    <row r="26" spans="1:11" x14ac:dyDescent="0.4">
      <c r="A26" s="1" t="s">
        <v>2879</v>
      </c>
      <c r="B26" s="1">
        <f>COUNTIF(总表!$E$2:$E$235,A26)</f>
        <v>23</v>
      </c>
      <c r="C26" s="11">
        <f>IFERROR(B26/COUNTA(总表!$AI$2:$AI$235),0)</f>
        <v>9.8290598290598288E-2</v>
      </c>
    </row>
    <row r="27" spans="1:11" x14ac:dyDescent="0.4">
      <c r="A27" s="1" t="s">
        <v>3184</v>
      </c>
      <c r="B27" s="1">
        <f>COUNTIF(总表!$E$2:$E$235,A27)</f>
        <v>4</v>
      </c>
      <c r="C27" s="11">
        <f>IFERROR(B27/COUNTA(总表!$AI$2:$AI$235),0)</f>
        <v>1.7094017094017096E-2</v>
      </c>
    </row>
    <row r="28" spans="1:11" ht="13.15" x14ac:dyDescent="0.4">
      <c r="A28" s="2" t="s">
        <v>3239</v>
      </c>
      <c r="B28" s="2">
        <f>SUM(B20:B27)</f>
        <v>234</v>
      </c>
      <c r="C28" s="12">
        <f>SUM(C20:C27)</f>
        <v>1</v>
      </c>
    </row>
    <row r="30" spans="1:11" ht="15" x14ac:dyDescent="0.4">
      <c r="A30" s="9" t="s">
        <v>3241</v>
      </c>
    </row>
    <row r="31" spans="1:11" ht="13.15" x14ac:dyDescent="0.4">
      <c r="A31" s="10" t="s">
        <v>3236</v>
      </c>
      <c r="B31" s="10" t="s">
        <v>3237</v>
      </c>
      <c r="C31" s="10" t="s">
        <v>3238</v>
      </c>
    </row>
    <row r="32" spans="1:11" x14ac:dyDescent="0.4">
      <c r="A32" s="1" t="s">
        <v>41</v>
      </c>
      <c r="B32" s="1">
        <f>COUNTIF(总表!$J$2:$J$235,A32)</f>
        <v>160</v>
      </c>
      <c r="C32" s="11">
        <f>IFERROR(B32/COUNTA(总表!$AI$2:$AI$235),0)</f>
        <v>0.68376068376068377</v>
      </c>
    </row>
    <row r="33" spans="1:3" x14ac:dyDescent="0.4">
      <c r="A33" s="1" t="s">
        <v>429</v>
      </c>
      <c r="B33" s="1">
        <f>COUNTIF(总表!$J$2:$J$235,A33)</f>
        <v>43</v>
      </c>
      <c r="C33" s="11">
        <f>IFERROR(B33/COUNTA(总表!$AI$2:$AI$235),0)</f>
        <v>0.18376068376068377</v>
      </c>
    </row>
    <row r="34" spans="1:3" x14ac:dyDescent="0.4">
      <c r="A34" s="1" t="s">
        <v>61</v>
      </c>
      <c r="B34" s="1">
        <f>COUNTIF(总表!$J$2:$J$235,A34)</f>
        <v>10</v>
      </c>
      <c r="C34" s="11">
        <f>IFERROR(B34/COUNTA(总表!$AI$2:$AI$235),0)</f>
        <v>4.2735042735042736E-2</v>
      </c>
    </row>
    <row r="35" spans="1:3" x14ac:dyDescent="0.4">
      <c r="A35" s="1" t="s">
        <v>2959</v>
      </c>
      <c r="B35" s="1">
        <f>COUNTIF(总表!$J$2:$J$235,A35)</f>
        <v>8</v>
      </c>
      <c r="C35" s="11">
        <f>IFERROR(B35/COUNTA(总表!$AI$2:$AI$235),0)</f>
        <v>3.4188034188034191E-2</v>
      </c>
    </row>
    <row r="36" spans="1:3" x14ac:dyDescent="0.4">
      <c r="A36" s="1" t="s">
        <v>1966</v>
      </c>
      <c r="B36" s="1">
        <f>COUNTIF(总表!$J$2:$J$235,A36)</f>
        <v>6</v>
      </c>
      <c r="C36" s="11">
        <f>IFERROR(B36/COUNTA(总表!$AI$2:$AI$235),0)</f>
        <v>2.564102564102564E-2</v>
      </c>
    </row>
    <row r="37" spans="1:3" x14ac:dyDescent="0.4">
      <c r="A37" s="1" t="s">
        <v>414</v>
      </c>
      <c r="B37" s="1">
        <f>COUNTIF(总表!$J$2:$J$235,A37)</f>
        <v>6</v>
      </c>
      <c r="C37" s="11">
        <f>IFERROR(B37/COUNTA(总表!$AI$2:$AI$235),0)</f>
        <v>2.564102564102564E-2</v>
      </c>
    </row>
    <row r="38" spans="1:3" x14ac:dyDescent="0.4">
      <c r="A38" s="1" t="s">
        <v>674</v>
      </c>
      <c r="B38" s="1">
        <f>COUNTIF(总表!$J$2:$J$235,A38)</f>
        <v>1</v>
      </c>
      <c r="C38" s="11">
        <f>IFERROR(B38/COUNTA(总表!$AI$2:$AI$235),0)</f>
        <v>4.2735042735042739E-3</v>
      </c>
    </row>
    <row r="39" spans="1:3" ht="13.15" x14ac:dyDescent="0.4">
      <c r="A39" s="2" t="s">
        <v>3239</v>
      </c>
      <c r="B39" s="2">
        <f>SUM(B32:B38)</f>
        <v>234</v>
      </c>
      <c r="C39" s="12">
        <f>SUM(C32:C38)</f>
        <v>1</v>
      </c>
    </row>
    <row r="41" spans="1:3" ht="15" x14ac:dyDescent="0.4">
      <c r="A41" s="9" t="s">
        <v>3242</v>
      </c>
    </row>
    <row r="42" spans="1:3" ht="13.15" x14ac:dyDescent="0.4">
      <c r="A42" s="10" t="s">
        <v>3236</v>
      </c>
      <c r="B42" s="10" t="s">
        <v>3237</v>
      </c>
      <c r="C42" s="10" t="s">
        <v>3238</v>
      </c>
    </row>
    <row r="43" spans="1:3" x14ac:dyDescent="0.4">
      <c r="A43" s="1" t="s">
        <v>61</v>
      </c>
      <c r="B43" s="1">
        <f>COUNTIF(总表!$M$2:$M$235,A43)</f>
        <v>44</v>
      </c>
      <c r="C43" s="11">
        <f>IFERROR(B43/COUNTA(总表!$AI$2:$AI$235),0)</f>
        <v>0.18803418803418803</v>
      </c>
    </row>
    <row r="44" spans="1:3" x14ac:dyDescent="0.4">
      <c r="A44" s="1" t="s">
        <v>735</v>
      </c>
      <c r="B44" s="1">
        <f>COUNTIF(总表!$M$2:$M$235,A44)</f>
        <v>29</v>
      </c>
      <c r="C44" s="11">
        <f>IFERROR(B44/COUNTA(总表!$AI$2:$AI$235),0)</f>
        <v>0.12393162393162394</v>
      </c>
    </row>
    <row r="45" spans="1:3" x14ac:dyDescent="0.4">
      <c r="A45" s="1" t="s">
        <v>259</v>
      </c>
      <c r="B45" s="1">
        <f>COUNTIF(总表!$M$2:$M$235,A45)</f>
        <v>25</v>
      </c>
      <c r="C45" s="11">
        <f>IFERROR(B45/COUNTA(总表!$AI$2:$AI$235),0)</f>
        <v>0.10683760683760683</v>
      </c>
    </row>
    <row r="46" spans="1:3" x14ac:dyDescent="0.4">
      <c r="A46" s="1" t="s">
        <v>292</v>
      </c>
      <c r="B46" s="1">
        <f>COUNTIF(总表!$M$2:$M$235,A46)</f>
        <v>24</v>
      </c>
      <c r="C46" s="11">
        <f>IFERROR(B46/COUNTA(总表!$AI$2:$AI$235),0)</f>
        <v>0.10256410256410256</v>
      </c>
    </row>
    <row r="47" spans="1:3" x14ac:dyDescent="0.4">
      <c r="A47" s="1" t="s">
        <v>1378</v>
      </c>
      <c r="B47" s="1">
        <f>COUNTIF(总表!$M$2:$M$235,A47)</f>
        <v>18</v>
      </c>
      <c r="C47" s="11">
        <f>IFERROR(B47/COUNTA(总表!$AI$2:$AI$235),0)</f>
        <v>7.6923076923076927E-2</v>
      </c>
    </row>
    <row r="48" spans="1:3" x14ac:dyDescent="0.4">
      <c r="A48" s="1" t="s">
        <v>2695</v>
      </c>
      <c r="B48" s="1">
        <f>COUNTIF(总表!$M$2:$M$235,A48)</f>
        <v>18</v>
      </c>
      <c r="C48" s="11">
        <f>IFERROR(B48/COUNTA(总表!$AI$2:$AI$235),0)</f>
        <v>7.6923076923076927E-2</v>
      </c>
    </row>
    <row r="49" spans="1:3" x14ac:dyDescent="0.4">
      <c r="A49" s="1" t="s">
        <v>171</v>
      </c>
      <c r="B49" s="1">
        <f>COUNTIF(总表!$M$2:$M$235,A49)</f>
        <v>17</v>
      </c>
      <c r="C49" s="11">
        <f>IFERROR(B49/COUNTA(总表!$AI$2:$AI$235),0)</f>
        <v>7.2649572649572655E-2</v>
      </c>
    </row>
    <row r="50" spans="1:3" x14ac:dyDescent="0.4">
      <c r="A50" s="1" t="s">
        <v>81</v>
      </c>
      <c r="B50" s="1">
        <f>COUNTIF(总表!$M$2:$M$235,A50)</f>
        <v>12</v>
      </c>
      <c r="C50" s="11">
        <f>IFERROR(B50/COUNTA(总表!$AI$2:$AI$235),0)</f>
        <v>5.128205128205128E-2</v>
      </c>
    </row>
    <row r="51" spans="1:3" x14ac:dyDescent="0.4">
      <c r="A51" s="1" t="s">
        <v>1876</v>
      </c>
      <c r="B51" s="1">
        <f>COUNTIF(总表!$M$2:$M$235,A51)</f>
        <v>8</v>
      </c>
      <c r="C51" s="11">
        <f>IFERROR(B51/COUNTA(总表!$AI$2:$AI$235),0)</f>
        <v>3.4188034188034191E-2</v>
      </c>
    </row>
    <row r="52" spans="1:3" x14ac:dyDescent="0.4">
      <c r="A52" s="1" t="s">
        <v>2663</v>
      </c>
      <c r="B52" s="1">
        <f>COUNTIF(总表!$M$2:$M$235,A52)</f>
        <v>8</v>
      </c>
      <c r="C52" s="11">
        <f>IFERROR(B52/COUNTA(总表!$AI$2:$AI$235),0)</f>
        <v>3.4188034188034191E-2</v>
      </c>
    </row>
    <row r="53" spans="1:3" x14ac:dyDescent="0.4">
      <c r="A53" s="1" t="s">
        <v>190</v>
      </c>
      <c r="B53" s="1">
        <f>COUNTIF(总表!$M$2:$M$235,A53)</f>
        <v>8</v>
      </c>
      <c r="C53" s="11">
        <f>IFERROR(B53/COUNTA(总表!$AI$2:$AI$235),0)</f>
        <v>3.4188034188034191E-2</v>
      </c>
    </row>
    <row r="54" spans="1:3" x14ac:dyDescent="0.4">
      <c r="A54" s="1" t="s">
        <v>769</v>
      </c>
      <c r="B54" s="1">
        <f>COUNTIF(总表!$M$2:$M$235,A54)</f>
        <v>3</v>
      </c>
      <c r="C54" s="11">
        <f>IFERROR(B54/COUNTA(总表!$AI$2:$AI$235),0)</f>
        <v>1.282051282051282E-2</v>
      </c>
    </row>
    <row r="55" spans="1:3" x14ac:dyDescent="0.4">
      <c r="A55" s="1" t="s">
        <v>2961</v>
      </c>
      <c r="B55" s="1">
        <f>COUNTIF(总表!$M$2:$M$235,A55)</f>
        <v>2</v>
      </c>
      <c r="C55" s="11">
        <f>IFERROR(B55/COUNTA(总表!$AI$2:$AI$235),0)</f>
        <v>8.5470085470085479E-3</v>
      </c>
    </row>
    <row r="56" spans="1:3" x14ac:dyDescent="0.4">
      <c r="A56" s="1" t="s">
        <v>2746</v>
      </c>
      <c r="B56" s="1">
        <f>COUNTIF(总表!$M$2:$M$235,A56)</f>
        <v>2</v>
      </c>
      <c r="C56" s="11">
        <f>IFERROR(B56/COUNTA(总表!$AI$2:$AI$235),0)</f>
        <v>8.5470085470085479E-3</v>
      </c>
    </row>
    <row r="57" spans="1:3" x14ac:dyDescent="0.4">
      <c r="A57" s="1" t="s">
        <v>43</v>
      </c>
      <c r="B57" s="1">
        <f>COUNTIF(总表!$M$2:$M$235,A57)</f>
        <v>2</v>
      </c>
      <c r="C57" s="11">
        <f>IFERROR(B57/COUNTA(总表!$AI$2:$AI$235),0)</f>
        <v>8.5470085470085479E-3</v>
      </c>
    </row>
    <row r="58" spans="1:3" x14ac:dyDescent="0.4">
      <c r="A58" s="1" t="s">
        <v>994</v>
      </c>
      <c r="B58" s="1">
        <f>COUNTIF(总表!$M$2:$M$235,A58)</f>
        <v>2</v>
      </c>
      <c r="C58" s="11">
        <f>IFERROR(B58/COUNTA(总表!$AI$2:$AI$235),0)</f>
        <v>8.5470085470085479E-3</v>
      </c>
    </row>
    <row r="59" spans="1:3" x14ac:dyDescent="0.4">
      <c r="A59" s="1" t="s">
        <v>3059</v>
      </c>
      <c r="B59" s="1">
        <f>COUNTIF(总表!$M$2:$M$235,A59)</f>
        <v>1</v>
      </c>
      <c r="C59" s="11">
        <f>IFERROR(B59/COUNTA(总表!$AI$2:$AI$235),0)</f>
        <v>4.2735042735042739E-3</v>
      </c>
    </row>
    <row r="60" spans="1:3" x14ac:dyDescent="0.4">
      <c r="A60" s="1" t="s">
        <v>3124</v>
      </c>
      <c r="B60" s="1">
        <f>COUNTIF(总表!$M$2:$M$235,A60)</f>
        <v>1</v>
      </c>
      <c r="C60" s="11">
        <f>IFERROR(B60/COUNTA(总表!$AI$2:$AI$235),0)</f>
        <v>4.2735042735042739E-3</v>
      </c>
    </row>
    <row r="61" spans="1:3" x14ac:dyDescent="0.4">
      <c r="A61" s="1" t="s">
        <v>3070</v>
      </c>
      <c r="B61" s="1">
        <f>COUNTIF(总表!$M$2:$M$235,A61)</f>
        <v>1</v>
      </c>
      <c r="C61" s="11">
        <f>IFERROR(B61/COUNTA(总表!$AI$2:$AI$235),0)</f>
        <v>4.2735042735042739E-3</v>
      </c>
    </row>
    <row r="62" spans="1:3" x14ac:dyDescent="0.4">
      <c r="A62" s="1" t="s">
        <v>3134</v>
      </c>
      <c r="B62" s="1">
        <f>COUNTIF(总表!$M$2:$M$235,A62)</f>
        <v>1</v>
      </c>
      <c r="C62" s="11">
        <f>IFERROR(B62/COUNTA(总表!$AI$2:$AI$235),0)</f>
        <v>4.2735042735042739E-3</v>
      </c>
    </row>
    <row r="63" spans="1:3" x14ac:dyDescent="0.4">
      <c r="A63" s="1" t="s">
        <v>3174</v>
      </c>
      <c r="B63" s="1">
        <f>COUNTIF(总表!$M$2:$M$235,A63)</f>
        <v>1</v>
      </c>
      <c r="C63" s="11">
        <f>IFERROR(B63/COUNTA(总表!$AI$2:$AI$235),0)</f>
        <v>4.2735042735042739E-3</v>
      </c>
    </row>
    <row r="64" spans="1:3" x14ac:dyDescent="0.4">
      <c r="A64" s="1" t="s">
        <v>2885</v>
      </c>
      <c r="B64" s="1">
        <f>COUNTIF(总表!$M$2:$M$235,A64)</f>
        <v>1</v>
      </c>
      <c r="C64" s="11">
        <f>IFERROR(B64/COUNTA(总表!$AI$2:$AI$235),0)</f>
        <v>4.2735042735042739E-3</v>
      </c>
    </row>
    <row r="65" spans="1:3" x14ac:dyDescent="0.4">
      <c r="A65" s="1" t="s">
        <v>2176</v>
      </c>
      <c r="B65" s="1">
        <f>COUNTIF(总表!$M$2:$M$235,A65)</f>
        <v>1</v>
      </c>
      <c r="C65" s="11">
        <f>IFERROR(B65/COUNTA(总表!$AI$2:$AI$235),0)</f>
        <v>4.2735042735042739E-3</v>
      </c>
    </row>
    <row r="66" spans="1:3" x14ac:dyDescent="0.4">
      <c r="A66" s="1" t="s">
        <v>916</v>
      </c>
      <c r="B66" s="1">
        <f>COUNTIF(总表!$M$2:$M$235,A66)</f>
        <v>1</v>
      </c>
      <c r="C66" s="11">
        <f>IFERROR(B66/COUNTA(总表!$AI$2:$AI$235),0)</f>
        <v>4.2735042735042739E-3</v>
      </c>
    </row>
    <row r="67" spans="1:3" x14ac:dyDescent="0.4">
      <c r="A67" s="1" t="s">
        <v>1671</v>
      </c>
      <c r="B67" s="1">
        <f>COUNTIF(总表!$M$2:$M$235,A67)</f>
        <v>1</v>
      </c>
      <c r="C67" s="11">
        <f>IFERROR(B67/COUNTA(总表!$AI$2:$AI$235),0)</f>
        <v>4.2735042735042739E-3</v>
      </c>
    </row>
    <row r="68" spans="1:3" x14ac:dyDescent="0.4">
      <c r="A68" s="1" t="s">
        <v>119</v>
      </c>
      <c r="B68" s="1">
        <f>COUNTIF(总表!$M$2:$M$235,A68)</f>
        <v>1</v>
      </c>
      <c r="C68" s="11">
        <f>IFERROR(B68/COUNTA(总表!$AI$2:$AI$235),0)</f>
        <v>4.2735042735042739E-3</v>
      </c>
    </row>
    <row r="69" spans="1:3" x14ac:dyDescent="0.4">
      <c r="A69" s="1" t="s">
        <v>139</v>
      </c>
      <c r="B69" s="1">
        <f>COUNTIF(总表!$M$2:$M$235,A69)</f>
        <v>1</v>
      </c>
      <c r="C69" s="11">
        <f>IFERROR(B69/COUNTA(总表!$AI$2:$AI$235),0)</f>
        <v>4.2735042735042739E-3</v>
      </c>
    </row>
    <row r="70" spans="1:3" x14ac:dyDescent="0.4">
      <c r="A70" s="1" t="s">
        <v>307</v>
      </c>
      <c r="B70" s="1">
        <f>COUNTIF(总表!$M$2:$M$235,A70)</f>
        <v>1</v>
      </c>
      <c r="C70" s="11">
        <f>IFERROR(B70/COUNTA(总表!$AI$2:$AI$235),0)</f>
        <v>4.2735042735042739E-3</v>
      </c>
    </row>
    <row r="71" spans="1:3" ht="13.15" x14ac:dyDescent="0.4">
      <c r="A71" s="2" t="s">
        <v>3239</v>
      </c>
      <c r="B71" s="2">
        <f>SUM(B43:B70)</f>
        <v>234</v>
      </c>
      <c r="C71" s="12">
        <f>SUM(C43:C70)</f>
        <v>0.99999999999999967</v>
      </c>
    </row>
    <row r="73" spans="1:3" ht="15" x14ac:dyDescent="0.4">
      <c r="A73" s="9" t="s">
        <v>3243</v>
      </c>
    </row>
    <row r="74" spans="1:3" ht="13.15" x14ac:dyDescent="0.4">
      <c r="A74" s="10" t="s">
        <v>3236</v>
      </c>
      <c r="B74" s="10" t="s">
        <v>3237</v>
      </c>
      <c r="C74" s="10" t="s">
        <v>3238</v>
      </c>
    </row>
    <row r="75" spans="1:3" x14ac:dyDescent="0.4">
      <c r="A75" s="1" t="s">
        <v>45</v>
      </c>
      <c r="B75" s="1">
        <f>COUNTIF(总表!$O$2:$O$235,A75)</f>
        <v>104</v>
      </c>
      <c r="C75" s="11">
        <f>IFERROR(B75/COUNTA(总表!$AI$2:$AI$235),0)</f>
        <v>0.44444444444444442</v>
      </c>
    </row>
    <row r="76" spans="1:3" x14ac:dyDescent="0.4">
      <c r="A76" s="1" t="s">
        <v>83</v>
      </c>
      <c r="B76" s="1">
        <f>COUNTIF(总表!$O$2:$O$235,A76)</f>
        <v>54</v>
      </c>
      <c r="C76" s="11">
        <f>IFERROR(B76/COUNTA(总表!$AI$2:$AI$235),0)</f>
        <v>0.23076923076923078</v>
      </c>
    </row>
    <row r="77" spans="1:3" x14ac:dyDescent="0.4">
      <c r="A77" s="1" t="s">
        <v>530</v>
      </c>
      <c r="B77" s="1">
        <f>COUNTIF(总表!$O$2:$O$235,A77)</f>
        <v>15</v>
      </c>
      <c r="C77" s="11">
        <f>IFERROR(B77/COUNTA(总表!$AI$2:$AI$235),0)</f>
        <v>6.4102564102564097E-2</v>
      </c>
    </row>
    <row r="78" spans="1:3" x14ac:dyDescent="0.4">
      <c r="A78" s="1" t="s">
        <v>261</v>
      </c>
      <c r="B78" s="1">
        <f>COUNTIF(总表!$O$2:$O$235,A78)</f>
        <v>11</v>
      </c>
      <c r="C78" s="11">
        <f>IFERROR(B78/COUNTA(总表!$AI$2:$AI$235),0)</f>
        <v>4.7008547008547008E-2</v>
      </c>
    </row>
    <row r="79" spans="1:3" x14ac:dyDescent="0.4">
      <c r="A79" s="1" t="s">
        <v>433</v>
      </c>
      <c r="B79" s="1">
        <f>COUNTIF(总表!$O$2:$O$235,A79)</f>
        <v>10</v>
      </c>
      <c r="C79" s="11">
        <f>IFERROR(B79/COUNTA(总表!$AI$2:$AI$235),0)</f>
        <v>4.2735042735042736E-2</v>
      </c>
    </row>
    <row r="80" spans="1:3" x14ac:dyDescent="0.4">
      <c r="A80" s="1" t="s">
        <v>582</v>
      </c>
      <c r="B80" s="1">
        <f>COUNTIF(总表!$O$2:$O$235,A80)</f>
        <v>10</v>
      </c>
      <c r="C80" s="11">
        <f>IFERROR(B80/COUNTA(总表!$AI$2:$AI$235),0)</f>
        <v>4.2735042735042736E-2</v>
      </c>
    </row>
    <row r="81" spans="1:3" x14ac:dyDescent="0.4">
      <c r="A81" s="1" t="s">
        <v>121</v>
      </c>
      <c r="B81" s="1">
        <f>COUNTIF(总表!$O$2:$O$235,A81)</f>
        <v>10</v>
      </c>
      <c r="C81" s="11">
        <f>IFERROR(B81/COUNTA(总表!$AI$2:$AI$235),0)</f>
        <v>4.2735042735042736E-2</v>
      </c>
    </row>
    <row r="82" spans="1:3" x14ac:dyDescent="0.4">
      <c r="A82" s="1" t="s">
        <v>340</v>
      </c>
      <c r="B82" s="1">
        <f>COUNTIF(总表!$O$2:$O$235,A82)</f>
        <v>9</v>
      </c>
      <c r="C82" s="11">
        <f>IFERROR(B82/COUNTA(总表!$AI$2:$AI$235),0)</f>
        <v>3.8461538461538464E-2</v>
      </c>
    </row>
    <row r="83" spans="1:3" x14ac:dyDescent="0.4">
      <c r="A83" s="1" t="s">
        <v>933</v>
      </c>
      <c r="B83" s="1">
        <f>COUNTIF(总表!$O$2:$O$235,A83)</f>
        <v>6</v>
      </c>
      <c r="C83" s="11">
        <f>IFERROR(B83/COUNTA(总表!$AI$2:$AI$235),0)</f>
        <v>2.564102564102564E-2</v>
      </c>
    </row>
    <row r="84" spans="1:3" x14ac:dyDescent="0.4">
      <c r="A84" s="1" t="s">
        <v>35</v>
      </c>
      <c r="B84" s="1">
        <f>COUNTIF(总表!$O$2:$O$235,A84)</f>
        <v>2</v>
      </c>
      <c r="C84" s="11">
        <f>IFERROR(B84/COUNTA(总表!$AI$2:$AI$235),0)</f>
        <v>8.5470085470085479E-3</v>
      </c>
    </row>
    <row r="85" spans="1:3" x14ac:dyDescent="0.4">
      <c r="A85" s="1" t="s">
        <v>63</v>
      </c>
      <c r="B85" s="1">
        <f>COUNTIF(总表!$O$2:$O$235,A85)</f>
        <v>2</v>
      </c>
      <c r="C85" s="11">
        <f>IFERROR(B85/COUNTA(总表!$AI$2:$AI$235),0)</f>
        <v>8.5470085470085479E-3</v>
      </c>
    </row>
    <row r="86" spans="1:3" x14ac:dyDescent="0.4">
      <c r="A86" s="1" t="s">
        <v>1122</v>
      </c>
      <c r="B86" s="1">
        <f>COUNTIF(总表!$O$2:$O$235,A86)</f>
        <v>1</v>
      </c>
      <c r="C86" s="11">
        <f>IFERROR(B86/COUNTA(总表!$AI$2:$AI$235),0)</f>
        <v>4.2735042735042739E-3</v>
      </c>
    </row>
    <row r="87" spans="1:3" ht="13.15" x14ac:dyDescent="0.4">
      <c r="A87" s="2" t="s">
        <v>3239</v>
      </c>
      <c r="B87" s="2">
        <f>SUM(B75:B86)</f>
        <v>234</v>
      </c>
      <c r="C87" s="12">
        <f>SUM(C75:C86)</f>
        <v>0.99999999999999989</v>
      </c>
    </row>
    <row r="89" spans="1:3" ht="15" x14ac:dyDescent="0.4">
      <c r="A89" s="9" t="s">
        <v>3244</v>
      </c>
    </row>
    <row r="90" spans="1:3" ht="13.15" x14ac:dyDescent="0.4">
      <c r="A90" s="10" t="s">
        <v>3236</v>
      </c>
      <c r="B90" s="10" t="s">
        <v>3237</v>
      </c>
      <c r="C90" s="10" t="s">
        <v>3238</v>
      </c>
    </row>
    <row r="91" spans="1:3" x14ac:dyDescent="0.4">
      <c r="A91" s="1" t="s">
        <v>1560</v>
      </c>
      <c r="B91" s="1">
        <f>COUNTIF(总表!$F$2:$F$235,A91)</f>
        <v>110</v>
      </c>
      <c r="C91" s="11">
        <f>IFERROR(B91/COUNTA(总表!$AI$2:$AI$235),0)</f>
        <v>0.47008547008547008</v>
      </c>
    </row>
    <row r="92" spans="1:3" x14ac:dyDescent="0.4">
      <c r="A92" s="1" t="s">
        <v>894</v>
      </c>
      <c r="B92" s="1">
        <f>COUNTIF(总表!$F$2:$F$235,A92)</f>
        <v>40</v>
      </c>
      <c r="C92" s="11">
        <f>IFERROR(B92/COUNTA(总表!$AI$2:$AI$235),0)</f>
        <v>0.17094017094017094</v>
      </c>
    </row>
    <row r="93" spans="1:3" x14ac:dyDescent="0.4">
      <c r="A93" s="1" t="s">
        <v>595</v>
      </c>
      <c r="B93" s="1">
        <f>COUNTIF(总表!$F$2:$F$235,A93)</f>
        <v>20</v>
      </c>
      <c r="C93" s="11">
        <f>IFERROR(B93/COUNTA(总表!$AI$2:$AI$235),0)</f>
        <v>8.5470085470085472E-2</v>
      </c>
    </row>
    <row r="94" spans="1:3" x14ac:dyDescent="0.4">
      <c r="A94" s="1" t="s">
        <v>2956</v>
      </c>
      <c r="B94" s="1">
        <f>COUNTIF(总表!$F$2:$F$235,A94)</f>
        <v>17</v>
      </c>
      <c r="C94" s="11">
        <f>IFERROR(B94/COUNTA(总表!$AI$2:$AI$235),0)</f>
        <v>7.2649572649572655E-2</v>
      </c>
    </row>
    <row r="95" spans="1:3" x14ac:dyDescent="0.4">
      <c r="A95" s="1" t="s">
        <v>334</v>
      </c>
      <c r="B95" s="1">
        <f>COUNTIF(总表!$F$2:$F$235,A95)</f>
        <v>16</v>
      </c>
      <c r="C95" s="11">
        <f>IFERROR(B95/COUNTA(总表!$AI$2:$AI$235),0)</f>
        <v>6.8376068376068383E-2</v>
      </c>
    </row>
    <row r="96" spans="1:3" x14ac:dyDescent="0.4">
      <c r="A96" s="1" t="s">
        <v>218</v>
      </c>
      <c r="B96" s="1">
        <f>COUNTIF(总表!$F$2:$F$235,A96)</f>
        <v>10</v>
      </c>
      <c r="C96" s="11">
        <f>IFERROR(B96/COUNTA(总表!$AI$2:$AI$235),0)</f>
        <v>4.2735042735042736E-2</v>
      </c>
    </row>
    <row r="97" spans="1:3" x14ac:dyDescent="0.4">
      <c r="A97" s="1" t="s">
        <v>97</v>
      </c>
      <c r="B97" s="1">
        <f>COUNTIF(总表!$F$2:$F$235,A97)</f>
        <v>7</v>
      </c>
      <c r="C97" s="11">
        <f>IFERROR(B97/COUNTA(总表!$AI$2:$AI$235),0)</f>
        <v>2.9914529914529916E-2</v>
      </c>
    </row>
    <row r="98" spans="1:3" x14ac:dyDescent="0.4">
      <c r="A98" s="1" t="s">
        <v>1468</v>
      </c>
      <c r="B98" s="1">
        <f>COUNTIF(总表!$F$2:$F$235,A98)</f>
        <v>6</v>
      </c>
      <c r="C98" s="11">
        <f>IFERROR(B98/COUNTA(总表!$AI$2:$AI$235),0)</f>
        <v>2.564102564102564E-2</v>
      </c>
    </row>
    <row r="99" spans="1:3" x14ac:dyDescent="0.4">
      <c r="A99" s="1" t="s">
        <v>561</v>
      </c>
      <c r="B99" s="1">
        <f>COUNTIF(总表!$F$2:$F$235,A99)</f>
        <v>2</v>
      </c>
      <c r="C99" s="11">
        <f>IFERROR(B99/COUNTA(总表!$AI$2:$AI$235),0)</f>
        <v>8.5470085470085479E-3</v>
      </c>
    </row>
    <row r="100" spans="1:3" x14ac:dyDescent="0.4">
      <c r="A100" s="1" t="s">
        <v>2894</v>
      </c>
      <c r="B100" s="1">
        <f>COUNTIF(总表!$F$2:$F$235,A100)</f>
        <v>1</v>
      </c>
      <c r="C100" s="11">
        <f>IFERROR(B100/COUNTA(总表!$AI$2:$AI$235),0)</f>
        <v>4.2735042735042739E-3</v>
      </c>
    </row>
    <row r="101" spans="1:3" x14ac:dyDescent="0.4">
      <c r="A101" s="1" t="s">
        <v>2880</v>
      </c>
      <c r="B101" s="1">
        <f>COUNTIF(总表!$F$2:$F$235,A101)</f>
        <v>1</v>
      </c>
      <c r="C101" s="11">
        <f>IFERROR(B101/COUNTA(总表!$AI$2:$AI$235),0)</f>
        <v>4.2735042735042739E-3</v>
      </c>
    </row>
    <row r="102" spans="1:3" x14ac:dyDescent="0.4">
      <c r="A102" s="1" t="s">
        <v>56</v>
      </c>
      <c r="B102" s="1">
        <f>COUNTIF(总表!$F$2:$F$235,A102)</f>
        <v>1</v>
      </c>
      <c r="C102" s="11">
        <f>IFERROR(B102/COUNTA(总表!$AI$2:$AI$235),0)</f>
        <v>4.2735042735042739E-3</v>
      </c>
    </row>
    <row r="103" spans="1:3" x14ac:dyDescent="0.4">
      <c r="A103" s="1" t="s">
        <v>76</v>
      </c>
      <c r="B103" s="1">
        <f>COUNTIF(总表!$F$2:$F$235,A103)</f>
        <v>1</v>
      </c>
      <c r="C103" s="11">
        <f>IFERROR(B103/COUNTA(总表!$AI$2:$AI$235),0)</f>
        <v>4.2735042735042739E-3</v>
      </c>
    </row>
    <row r="104" spans="1:3" x14ac:dyDescent="0.4">
      <c r="A104" s="1" t="s">
        <v>38</v>
      </c>
      <c r="B104" s="1">
        <f>COUNTIF(总表!$F$2:$F$235,A104)</f>
        <v>1</v>
      </c>
      <c r="C104" s="11">
        <f>IFERROR(B104/COUNTA(总表!$AI$2:$AI$235),0)</f>
        <v>4.2735042735042739E-3</v>
      </c>
    </row>
    <row r="105" spans="1:3" ht="13.15" x14ac:dyDescent="0.4">
      <c r="A105" s="2" t="s">
        <v>3239</v>
      </c>
      <c r="B105" s="2">
        <f>SUM(B91:B104)</f>
        <v>233</v>
      </c>
      <c r="C105" s="12">
        <f>SUM(C91:C104)</f>
        <v>0.99572649572649552</v>
      </c>
    </row>
    <row r="107" spans="1:3" ht="15" x14ac:dyDescent="0.4">
      <c r="A107" s="9" t="s">
        <v>3245</v>
      </c>
    </row>
    <row r="108" spans="1:3" ht="13.15" x14ac:dyDescent="0.4">
      <c r="A108" s="10" t="s">
        <v>3236</v>
      </c>
      <c r="B108" s="10" t="s">
        <v>3237</v>
      </c>
      <c r="C108" s="10" t="s">
        <v>3238</v>
      </c>
    </row>
    <row r="109" spans="1:3" x14ac:dyDescent="0.4">
      <c r="A109" s="1" t="s">
        <v>164</v>
      </c>
      <c r="B109" s="1">
        <f>COUNTIF(总表!$AC$2:$AC$235,A109)</f>
        <v>62</v>
      </c>
      <c r="C109" s="11">
        <f>IFERROR(B109/COUNTA(总表!$AI$2:$AI$235),0)</f>
        <v>0.26495726495726496</v>
      </c>
    </row>
    <row r="110" spans="1:3" x14ac:dyDescent="0.4">
      <c r="A110" s="1" t="s">
        <v>50</v>
      </c>
      <c r="B110" s="1">
        <f>COUNTIF(总表!$AC$2:$AC$235,A110)</f>
        <v>160</v>
      </c>
      <c r="C110" s="11">
        <f>IFERROR(B110/COUNTA(总表!$AI$2:$AI$235),0)</f>
        <v>0.68376068376068377</v>
      </c>
    </row>
    <row r="111" spans="1:3" x14ac:dyDescent="0.4">
      <c r="A111" s="1" t="s">
        <v>313</v>
      </c>
      <c r="B111" s="1">
        <f>COUNTIF(总表!$AC$2:$AC$235,A111)</f>
        <v>12</v>
      </c>
      <c r="C111" s="11">
        <f>IFERROR(B111/COUNTA(总表!$AI$2:$AI$235),0)</f>
        <v>5.128205128205128E-2</v>
      </c>
    </row>
    <row r="112" spans="1:3" ht="13.15" x14ac:dyDescent="0.4">
      <c r="A112" s="2" t="s">
        <v>3239</v>
      </c>
      <c r="B112" s="2">
        <f>SUM(B109:B111)</f>
        <v>234</v>
      </c>
      <c r="C112" s="12">
        <f>SUM(C109:C111)</f>
        <v>1</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616ED-8AE4-41CD-BA90-69571E848AFE}">
  <dimension ref="A1:G224"/>
  <sheetViews>
    <sheetView workbookViewId="0"/>
  </sheetViews>
  <sheetFormatPr defaultRowHeight="12.75" x14ac:dyDescent="0.4"/>
  <cols>
    <col min="1" max="1" width="12.59765625" style="1" customWidth="1"/>
    <col min="2" max="4" width="10.59765625" style="1" customWidth="1"/>
    <col min="5" max="5" width="12.59765625" style="1" customWidth="1"/>
    <col min="6" max="6" width="18.59765625" style="1" customWidth="1"/>
    <col min="7" max="7" width="50.59765625" style="1" customWidth="1"/>
    <col min="8" max="16384" width="9.06640625" style="1"/>
  </cols>
  <sheetData>
    <row r="1" spans="1:7" ht="26.25" x14ac:dyDescent="0.4">
      <c r="A1" s="3" t="s">
        <v>3251</v>
      </c>
      <c r="B1" s="3" t="s">
        <v>3252</v>
      </c>
      <c r="C1" s="3" t="s">
        <v>3253</v>
      </c>
      <c r="D1" s="3" t="s">
        <v>3254</v>
      </c>
      <c r="E1" s="3" t="s">
        <v>3255</v>
      </c>
      <c r="F1" s="3" t="s">
        <v>12</v>
      </c>
      <c r="G1" s="3" t="s">
        <v>3256</v>
      </c>
    </row>
    <row r="2" spans="1:7" x14ac:dyDescent="0.4">
      <c r="A2" s="1" t="s">
        <v>3257</v>
      </c>
      <c r="B2" s="1">
        <v>5</v>
      </c>
      <c r="C2" s="1">
        <v>5</v>
      </c>
      <c r="D2" s="1">
        <v>0</v>
      </c>
      <c r="E2" s="1" t="s">
        <v>3258</v>
      </c>
      <c r="F2" s="1" t="s">
        <v>3259</v>
      </c>
      <c r="G2" s="1" t="s">
        <v>3260</v>
      </c>
    </row>
    <row r="3" spans="1:7" x14ac:dyDescent="0.4">
      <c r="A3" s="1" t="s">
        <v>3261</v>
      </c>
      <c r="B3" s="1">
        <v>4</v>
      </c>
      <c r="C3" s="1">
        <v>4</v>
      </c>
      <c r="D3" s="1">
        <v>0</v>
      </c>
      <c r="E3" s="1" t="s">
        <v>3262</v>
      </c>
      <c r="F3" s="1" t="s">
        <v>61</v>
      </c>
      <c r="G3" s="1" t="s">
        <v>3263</v>
      </c>
    </row>
    <row r="4" spans="1:7" x14ac:dyDescent="0.4">
      <c r="A4" s="1" t="s">
        <v>1718</v>
      </c>
      <c r="B4" s="1">
        <v>3</v>
      </c>
      <c r="C4" s="1">
        <v>3</v>
      </c>
      <c r="D4" s="1">
        <v>2</v>
      </c>
      <c r="E4" s="1" t="s">
        <v>3264</v>
      </c>
      <c r="F4" s="1" t="s">
        <v>3265</v>
      </c>
      <c r="G4" s="1" t="s">
        <v>3266</v>
      </c>
    </row>
    <row r="5" spans="1:7" x14ac:dyDescent="0.4">
      <c r="A5" s="1" t="s">
        <v>3267</v>
      </c>
      <c r="B5" s="1">
        <v>3</v>
      </c>
      <c r="C5" s="1">
        <v>3</v>
      </c>
      <c r="D5" s="1">
        <v>0</v>
      </c>
      <c r="E5" s="1" t="s">
        <v>3268</v>
      </c>
      <c r="F5" s="1" t="s">
        <v>1876</v>
      </c>
      <c r="G5" s="1" t="s">
        <v>3269</v>
      </c>
    </row>
    <row r="6" spans="1:7" x14ac:dyDescent="0.4">
      <c r="A6" s="1" t="s">
        <v>1732</v>
      </c>
      <c r="B6" s="1">
        <v>2</v>
      </c>
      <c r="C6" s="1">
        <v>0</v>
      </c>
      <c r="D6" s="1">
        <v>2</v>
      </c>
      <c r="E6" s="1" t="s">
        <v>3270</v>
      </c>
      <c r="F6" s="1" t="s">
        <v>735</v>
      </c>
      <c r="G6" s="1" t="s">
        <v>3271</v>
      </c>
    </row>
    <row r="7" spans="1:7" x14ac:dyDescent="0.4">
      <c r="A7" s="1" t="s">
        <v>2535</v>
      </c>
      <c r="B7" s="1">
        <v>2</v>
      </c>
      <c r="C7" s="1">
        <v>0</v>
      </c>
      <c r="D7" s="1">
        <v>2</v>
      </c>
      <c r="E7" s="1" t="s">
        <v>3262</v>
      </c>
      <c r="F7" s="1" t="s">
        <v>61</v>
      </c>
      <c r="G7" s="1" t="s">
        <v>3272</v>
      </c>
    </row>
    <row r="8" spans="1:7" x14ac:dyDescent="0.4">
      <c r="A8" s="1" t="s">
        <v>3273</v>
      </c>
      <c r="B8" s="1">
        <v>2</v>
      </c>
      <c r="C8" s="1">
        <v>0</v>
      </c>
      <c r="D8" s="1">
        <v>2</v>
      </c>
      <c r="E8" s="1" t="s">
        <v>3262</v>
      </c>
      <c r="F8" s="1" t="s">
        <v>61</v>
      </c>
      <c r="G8" s="1" t="s">
        <v>3274</v>
      </c>
    </row>
    <row r="9" spans="1:7" x14ac:dyDescent="0.4">
      <c r="A9" s="1" t="s">
        <v>695</v>
      </c>
      <c r="B9" s="1">
        <v>2</v>
      </c>
      <c r="C9" s="1">
        <v>2</v>
      </c>
      <c r="D9" s="1">
        <v>0</v>
      </c>
      <c r="E9" s="1" t="s">
        <v>3275</v>
      </c>
      <c r="F9" s="1" t="s">
        <v>292</v>
      </c>
      <c r="G9" s="1" t="s">
        <v>3276</v>
      </c>
    </row>
    <row r="10" spans="1:7" x14ac:dyDescent="0.4">
      <c r="A10" s="1" t="s">
        <v>3277</v>
      </c>
      <c r="B10" s="1">
        <v>2</v>
      </c>
      <c r="C10" s="1">
        <v>0</v>
      </c>
      <c r="D10" s="1">
        <v>2</v>
      </c>
      <c r="E10" s="1" t="s">
        <v>3278</v>
      </c>
      <c r="F10" s="1" t="s">
        <v>292</v>
      </c>
      <c r="G10" s="1" t="s">
        <v>3279</v>
      </c>
    </row>
    <row r="11" spans="1:7" x14ac:dyDescent="0.4">
      <c r="A11" s="1" t="s">
        <v>3280</v>
      </c>
      <c r="B11" s="1">
        <v>2</v>
      </c>
      <c r="C11" s="1">
        <v>2</v>
      </c>
      <c r="D11" s="1">
        <v>0</v>
      </c>
      <c r="E11" s="1" t="s">
        <v>3281</v>
      </c>
      <c r="F11" s="1" t="s">
        <v>292</v>
      </c>
      <c r="G11" s="1" t="s">
        <v>3282</v>
      </c>
    </row>
    <row r="12" spans="1:7" x14ac:dyDescent="0.4">
      <c r="A12" s="1" t="s">
        <v>275</v>
      </c>
      <c r="B12" s="1">
        <v>2</v>
      </c>
      <c r="C12" s="1">
        <v>0</v>
      </c>
      <c r="D12" s="1">
        <v>2</v>
      </c>
      <c r="E12" s="1" t="s">
        <v>3283</v>
      </c>
      <c r="F12" s="1" t="s">
        <v>61</v>
      </c>
      <c r="G12" s="1" t="s">
        <v>3284</v>
      </c>
    </row>
    <row r="13" spans="1:7" x14ac:dyDescent="0.4">
      <c r="A13" s="1" t="s">
        <v>502</v>
      </c>
      <c r="B13" s="1">
        <v>2</v>
      </c>
      <c r="C13" s="1">
        <v>0</v>
      </c>
      <c r="D13" s="1">
        <v>2</v>
      </c>
      <c r="E13" s="1" t="s">
        <v>3285</v>
      </c>
      <c r="F13" s="1" t="s">
        <v>259</v>
      </c>
      <c r="G13" s="1" t="s">
        <v>3286</v>
      </c>
    </row>
    <row r="14" spans="1:7" x14ac:dyDescent="0.4">
      <c r="A14" s="1" t="s">
        <v>1331</v>
      </c>
      <c r="B14" s="1">
        <v>2</v>
      </c>
      <c r="C14" s="1">
        <v>0</v>
      </c>
      <c r="D14" s="1">
        <v>2</v>
      </c>
      <c r="E14" s="1" t="s">
        <v>3287</v>
      </c>
      <c r="F14" s="1" t="s">
        <v>292</v>
      </c>
      <c r="G14" s="1" t="s">
        <v>3288</v>
      </c>
    </row>
    <row r="15" spans="1:7" x14ac:dyDescent="0.4">
      <c r="A15" s="1" t="s">
        <v>500</v>
      </c>
      <c r="B15" s="1">
        <v>2</v>
      </c>
      <c r="C15" s="1">
        <v>2</v>
      </c>
      <c r="D15" s="1">
        <v>0</v>
      </c>
      <c r="E15" s="1" t="s">
        <v>3285</v>
      </c>
      <c r="F15" s="1" t="s">
        <v>259</v>
      </c>
      <c r="G15" s="1" t="s">
        <v>3286</v>
      </c>
    </row>
    <row r="16" spans="1:7" x14ac:dyDescent="0.4">
      <c r="A16" s="1" t="s">
        <v>3289</v>
      </c>
      <c r="B16" s="1">
        <v>2</v>
      </c>
      <c r="C16" s="1">
        <v>0</v>
      </c>
      <c r="D16" s="1">
        <v>2</v>
      </c>
      <c r="E16" s="1" t="s">
        <v>3290</v>
      </c>
      <c r="F16" s="1" t="s">
        <v>2663</v>
      </c>
      <c r="G16" s="1" t="s">
        <v>3291</v>
      </c>
    </row>
    <row r="17" spans="1:7" x14ac:dyDescent="0.4">
      <c r="A17" s="1" t="s">
        <v>1940</v>
      </c>
      <c r="B17" s="1">
        <v>2</v>
      </c>
      <c r="C17" s="1">
        <v>2</v>
      </c>
      <c r="D17" s="1">
        <v>0</v>
      </c>
      <c r="E17" s="1" t="s">
        <v>3292</v>
      </c>
      <c r="F17" s="1" t="s">
        <v>735</v>
      </c>
      <c r="G17" s="1" t="s">
        <v>3293</v>
      </c>
    </row>
    <row r="18" spans="1:7" x14ac:dyDescent="0.4">
      <c r="A18" s="1" t="s">
        <v>3294</v>
      </c>
      <c r="B18" s="1">
        <v>2</v>
      </c>
      <c r="C18" s="1">
        <v>2</v>
      </c>
      <c r="D18" s="1">
        <v>0</v>
      </c>
      <c r="E18" s="1" t="s">
        <v>3281</v>
      </c>
      <c r="F18" s="1" t="s">
        <v>292</v>
      </c>
      <c r="G18" s="1" t="s">
        <v>3282</v>
      </c>
    </row>
    <row r="19" spans="1:7" x14ac:dyDescent="0.4">
      <c r="A19" s="1" t="s">
        <v>3295</v>
      </c>
      <c r="B19" s="1">
        <v>2</v>
      </c>
      <c r="C19" s="1">
        <v>2</v>
      </c>
      <c r="D19" s="1">
        <v>0</v>
      </c>
      <c r="E19" s="1" t="s">
        <v>3278</v>
      </c>
      <c r="F19" s="1" t="s">
        <v>292</v>
      </c>
      <c r="G19" s="1" t="s">
        <v>3279</v>
      </c>
    </row>
    <row r="20" spans="1:7" x14ac:dyDescent="0.4">
      <c r="A20" s="1" t="s">
        <v>3296</v>
      </c>
      <c r="B20" s="1">
        <v>2</v>
      </c>
      <c r="C20" s="1">
        <v>0</v>
      </c>
      <c r="D20" s="1">
        <v>2</v>
      </c>
      <c r="E20" s="1" t="s">
        <v>3297</v>
      </c>
      <c r="F20" s="1" t="s">
        <v>61</v>
      </c>
      <c r="G20" s="1" t="s">
        <v>3298</v>
      </c>
    </row>
    <row r="21" spans="1:7" x14ac:dyDescent="0.4">
      <c r="A21" s="1" t="s">
        <v>3299</v>
      </c>
      <c r="B21" s="1">
        <v>2</v>
      </c>
      <c r="C21" s="1">
        <v>2</v>
      </c>
      <c r="D21" s="1">
        <v>0</v>
      </c>
      <c r="E21" s="1" t="s">
        <v>3278</v>
      </c>
      <c r="F21" s="1" t="s">
        <v>292</v>
      </c>
      <c r="G21" s="1" t="s">
        <v>3279</v>
      </c>
    </row>
    <row r="22" spans="1:7" x14ac:dyDescent="0.4">
      <c r="A22" s="1" t="s">
        <v>3300</v>
      </c>
      <c r="B22" s="1">
        <v>2</v>
      </c>
      <c r="C22" s="1">
        <v>0</v>
      </c>
      <c r="D22" s="1">
        <v>2</v>
      </c>
      <c r="E22" s="1" t="s">
        <v>3268</v>
      </c>
      <c r="F22" s="1" t="s">
        <v>1876</v>
      </c>
      <c r="G22" s="1" t="s">
        <v>3301</v>
      </c>
    </row>
    <row r="23" spans="1:7" x14ac:dyDescent="0.4">
      <c r="A23" s="1" t="s">
        <v>2147</v>
      </c>
      <c r="B23" s="1">
        <v>2</v>
      </c>
      <c r="C23" s="1">
        <v>2</v>
      </c>
      <c r="D23" s="1">
        <v>0</v>
      </c>
      <c r="E23" s="1" t="s">
        <v>3297</v>
      </c>
      <c r="F23" s="1" t="s">
        <v>61</v>
      </c>
      <c r="G23" s="1" t="s">
        <v>3302</v>
      </c>
    </row>
    <row r="24" spans="1:7" x14ac:dyDescent="0.4">
      <c r="A24" s="1" t="s">
        <v>3303</v>
      </c>
      <c r="B24" s="1">
        <v>2</v>
      </c>
      <c r="C24" s="1">
        <v>2</v>
      </c>
      <c r="D24" s="1">
        <v>0</v>
      </c>
      <c r="E24" s="1" t="s">
        <v>3304</v>
      </c>
      <c r="F24" s="1" t="s">
        <v>259</v>
      </c>
      <c r="G24" s="1" t="s">
        <v>3305</v>
      </c>
    </row>
    <row r="25" spans="1:7" x14ac:dyDescent="0.4">
      <c r="A25" s="1" t="s">
        <v>1262</v>
      </c>
      <c r="B25" s="1">
        <v>2</v>
      </c>
      <c r="C25" s="1">
        <v>0</v>
      </c>
      <c r="D25" s="1">
        <v>2</v>
      </c>
      <c r="E25" s="1" t="s">
        <v>3304</v>
      </c>
      <c r="F25" s="1" t="s">
        <v>259</v>
      </c>
      <c r="G25" s="1" t="s">
        <v>3305</v>
      </c>
    </row>
    <row r="26" spans="1:7" x14ac:dyDescent="0.4">
      <c r="A26" s="1" t="s">
        <v>1329</v>
      </c>
      <c r="B26" s="1">
        <v>2</v>
      </c>
      <c r="C26" s="1">
        <v>2</v>
      </c>
      <c r="D26" s="1">
        <v>0</v>
      </c>
      <c r="E26" s="1" t="s">
        <v>3287</v>
      </c>
      <c r="F26" s="1" t="s">
        <v>292</v>
      </c>
      <c r="G26" s="1" t="s">
        <v>3288</v>
      </c>
    </row>
    <row r="27" spans="1:7" x14ac:dyDescent="0.4">
      <c r="A27" s="1" t="s">
        <v>3306</v>
      </c>
      <c r="B27" s="1">
        <v>2</v>
      </c>
      <c r="C27" s="1">
        <v>0</v>
      </c>
      <c r="D27" s="1">
        <v>2</v>
      </c>
      <c r="E27" s="1" t="s">
        <v>3307</v>
      </c>
      <c r="F27" s="1" t="s">
        <v>61</v>
      </c>
      <c r="G27" s="1" t="s">
        <v>3308</v>
      </c>
    </row>
    <row r="28" spans="1:7" x14ac:dyDescent="0.4">
      <c r="A28" s="1" t="s">
        <v>1758</v>
      </c>
      <c r="B28" s="1">
        <v>2</v>
      </c>
      <c r="C28" s="1">
        <v>2</v>
      </c>
      <c r="D28" s="1">
        <v>0</v>
      </c>
      <c r="E28" s="1" t="s">
        <v>3309</v>
      </c>
      <c r="F28" s="1" t="s">
        <v>735</v>
      </c>
      <c r="G28" s="1" t="s">
        <v>3310</v>
      </c>
    </row>
    <row r="29" spans="1:7" x14ac:dyDescent="0.4">
      <c r="A29" s="1" t="s">
        <v>3311</v>
      </c>
      <c r="C29" s="1">
        <v>0</v>
      </c>
      <c r="D29" s="1">
        <v>1</v>
      </c>
      <c r="E29" s="1" t="s">
        <v>3312</v>
      </c>
      <c r="F29" s="1" t="s">
        <v>61</v>
      </c>
      <c r="G29" s="15">
        <v>18660</v>
      </c>
    </row>
    <row r="30" spans="1:7" x14ac:dyDescent="0.4">
      <c r="A30" s="1" t="s">
        <v>3313</v>
      </c>
      <c r="C30" s="1">
        <v>1</v>
      </c>
      <c r="D30" s="1">
        <v>0</v>
      </c>
      <c r="E30" s="1" t="s">
        <v>3312</v>
      </c>
      <c r="F30" s="1" t="s">
        <v>769</v>
      </c>
      <c r="G30" s="15">
        <v>17899</v>
      </c>
    </row>
    <row r="31" spans="1:7" x14ac:dyDescent="0.4">
      <c r="A31" s="1" t="s">
        <v>3314</v>
      </c>
      <c r="C31" s="1">
        <v>1</v>
      </c>
      <c r="D31" s="1">
        <v>0</v>
      </c>
      <c r="E31" s="1" t="s">
        <v>3315</v>
      </c>
      <c r="F31" s="1" t="s">
        <v>259</v>
      </c>
      <c r="G31" s="15">
        <v>13516</v>
      </c>
    </row>
    <row r="32" spans="1:7" x14ac:dyDescent="0.4">
      <c r="A32" s="1" t="s">
        <v>3316</v>
      </c>
      <c r="C32" s="1">
        <v>1</v>
      </c>
      <c r="D32" s="1">
        <v>0</v>
      </c>
      <c r="E32" s="1" t="s">
        <v>3317</v>
      </c>
      <c r="F32" s="1" t="s">
        <v>61</v>
      </c>
      <c r="G32" s="15">
        <v>13881</v>
      </c>
    </row>
    <row r="33" spans="1:7" x14ac:dyDescent="0.4">
      <c r="A33" s="1" t="s">
        <v>3318</v>
      </c>
      <c r="C33" s="1">
        <v>0</v>
      </c>
      <c r="D33" s="1">
        <v>1</v>
      </c>
      <c r="E33" s="1" t="s">
        <v>3319</v>
      </c>
      <c r="F33" s="1" t="s">
        <v>735</v>
      </c>
      <c r="G33" s="1" t="s">
        <v>3320</v>
      </c>
    </row>
    <row r="34" spans="1:7" x14ac:dyDescent="0.4">
      <c r="A34" s="1" t="s">
        <v>3321</v>
      </c>
      <c r="C34" s="1">
        <v>0</v>
      </c>
      <c r="D34" s="1">
        <v>1</v>
      </c>
      <c r="E34" s="1" t="s">
        <v>3322</v>
      </c>
      <c r="F34" s="1" t="s">
        <v>2663</v>
      </c>
      <c r="G34" s="1" t="s">
        <v>3323</v>
      </c>
    </row>
    <row r="35" spans="1:7" x14ac:dyDescent="0.4">
      <c r="A35" s="1" t="s">
        <v>3324</v>
      </c>
      <c r="C35" s="1">
        <v>1</v>
      </c>
      <c r="D35" s="1">
        <v>1</v>
      </c>
      <c r="E35" s="1" t="s">
        <v>3325</v>
      </c>
      <c r="F35" s="1" t="s">
        <v>61</v>
      </c>
      <c r="G35" s="1" t="s">
        <v>3326</v>
      </c>
    </row>
    <row r="36" spans="1:7" x14ac:dyDescent="0.4">
      <c r="A36" s="1" t="s">
        <v>3327</v>
      </c>
      <c r="C36" s="1">
        <v>0</v>
      </c>
      <c r="D36" s="1">
        <v>1</v>
      </c>
      <c r="E36" s="1" t="s">
        <v>3328</v>
      </c>
      <c r="F36" s="1" t="s">
        <v>171</v>
      </c>
      <c r="G36" s="1" t="s">
        <v>3329</v>
      </c>
    </row>
    <row r="37" spans="1:7" x14ac:dyDescent="0.4">
      <c r="A37" s="1" t="s">
        <v>3330</v>
      </c>
      <c r="C37" s="1">
        <v>1</v>
      </c>
      <c r="D37" s="1">
        <v>0</v>
      </c>
      <c r="E37" s="1" t="s">
        <v>3331</v>
      </c>
      <c r="F37" s="1" t="s">
        <v>259</v>
      </c>
      <c r="G37" s="15">
        <v>19756</v>
      </c>
    </row>
    <row r="38" spans="1:7" x14ac:dyDescent="0.4">
      <c r="A38" s="1" t="s">
        <v>3332</v>
      </c>
      <c r="C38" s="1">
        <v>1</v>
      </c>
      <c r="D38" s="1">
        <v>0</v>
      </c>
      <c r="E38" s="1" t="s">
        <v>3333</v>
      </c>
      <c r="F38" s="1" t="s">
        <v>61</v>
      </c>
      <c r="G38" s="1" t="s">
        <v>3334</v>
      </c>
    </row>
    <row r="39" spans="1:7" x14ac:dyDescent="0.4">
      <c r="A39" s="1" t="s">
        <v>3335</v>
      </c>
      <c r="C39" s="1">
        <v>0</v>
      </c>
      <c r="D39" s="1">
        <v>1</v>
      </c>
      <c r="E39" s="1" t="s">
        <v>3336</v>
      </c>
      <c r="F39" s="1" t="s">
        <v>259</v>
      </c>
      <c r="G39" s="15">
        <v>20852</v>
      </c>
    </row>
    <row r="40" spans="1:7" x14ac:dyDescent="0.4">
      <c r="A40" s="1" t="s">
        <v>3337</v>
      </c>
      <c r="C40" s="1">
        <v>1</v>
      </c>
      <c r="D40" s="1">
        <v>0</v>
      </c>
      <c r="E40" s="1" t="s">
        <v>3338</v>
      </c>
      <c r="F40" s="1" t="s">
        <v>259</v>
      </c>
      <c r="G40" s="15">
        <v>21582</v>
      </c>
    </row>
    <row r="41" spans="1:7" x14ac:dyDescent="0.4">
      <c r="A41" s="1" t="s">
        <v>1401</v>
      </c>
      <c r="C41" s="1">
        <v>0</v>
      </c>
      <c r="D41" s="1">
        <v>1</v>
      </c>
      <c r="E41" s="1" t="s">
        <v>3339</v>
      </c>
      <c r="F41" s="1" t="s">
        <v>292</v>
      </c>
      <c r="G41" s="15">
        <v>31444</v>
      </c>
    </row>
    <row r="42" spans="1:7" x14ac:dyDescent="0.4">
      <c r="A42" s="1" t="s">
        <v>3340</v>
      </c>
      <c r="C42" s="1">
        <v>1</v>
      </c>
      <c r="D42" s="1">
        <v>0</v>
      </c>
      <c r="E42" s="1" t="s">
        <v>3341</v>
      </c>
      <c r="F42" s="1" t="s">
        <v>259</v>
      </c>
      <c r="G42" s="15">
        <v>12785</v>
      </c>
    </row>
    <row r="43" spans="1:7" x14ac:dyDescent="0.4">
      <c r="A43" s="1" t="s">
        <v>3342</v>
      </c>
      <c r="C43" s="1">
        <v>0</v>
      </c>
      <c r="D43" s="1">
        <v>1</v>
      </c>
      <c r="E43" s="1" t="s">
        <v>3343</v>
      </c>
      <c r="F43" s="1" t="s">
        <v>61</v>
      </c>
      <c r="G43" s="16">
        <v>46046</v>
      </c>
    </row>
    <row r="44" spans="1:7" x14ac:dyDescent="0.4">
      <c r="A44" s="1" t="s">
        <v>3344</v>
      </c>
      <c r="C44" s="1">
        <v>0</v>
      </c>
      <c r="D44" s="1">
        <v>1</v>
      </c>
      <c r="E44" s="1" t="s">
        <v>3345</v>
      </c>
      <c r="F44" s="1" t="s">
        <v>994</v>
      </c>
      <c r="G44" s="1" t="s">
        <v>3346</v>
      </c>
    </row>
    <row r="45" spans="1:7" x14ac:dyDescent="0.4">
      <c r="A45" s="1" t="s">
        <v>2288</v>
      </c>
      <c r="C45" s="1">
        <v>1</v>
      </c>
      <c r="D45" s="1">
        <v>0</v>
      </c>
      <c r="E45" s="1" t="s">
        <v>3347</v>
      </c>
      <c r="F45" s="1" t="s">
        <v>735</v>
      </c>
      <c r="G45" s="1" t="s">
        <v>3348</v>
      </c>
    </row>
    <row r="46" spans="1:7" x14ac:dyDescent="0.4">
      <c r="A46" s="1" t="s">
        <v>3349</v>
      </c>
      <c r="C46" s="1">
        <v>0</v>
      </c>
      <c r="D46" s="1">
        <v>1</v>
      </c>
      <c r="E46" s="1" t="s">
        <v>3350</v>
      </c>
      <c r="F46" s="1" t="s">
        <v>81</v>
      </c>
      <c r="G46" s="16">
        <v>46025</v>
      </c>
    </row>
    <row r="47" spans="1:7" x14ac:dyDescent="0.4">
      <c r="A47" s="1" t="s">
        <v>3351</v>
      </c>
      <c r="C47" s="1">
        <v>1</v>
      </c>
      <c r="D47" s="1">
        <v>0</v>
      </c>
      <c r="E47" s="1" t="s">
        <v>3352</v>
      </c>
      <c r="F47" s="1" t="s">
        <v>292</v>
      </c>
      <c r="G47" s="16">
        <v>46042</v>
      </c>
    </row>
    <row r="48" spans="1:7" x14ac:dyDescent="0.4">
      <c r="A48" s="1" t="s">
        <v>3353</v>
      </c>
      <c r="C48" s="1">
        <v>0</v>
      </c>
      <c r="D48" s="1">
        <v>1</v>
      </c>
      <c r="E48" s="1" t="s">
        <v>3354</v>
      </c>
      <c r="F48" s="1" t="s">
        <v>61</v>
      </c>
      <c r="G48" s="1" t="s">
        <v>3355</v>
      </c>
    </row>
    <row r="49" spans="1:7" x14ac:dyDescent="0.4">
      <c r="A49" s="1" t="s">
        <v>3356</v>
      </c>
      <c r="C49" s="1">
        <v>0</v>
      </c>
      <c r="D49" s="1">
        <v>1</v>
      </c>
      <c r="E49" s="1" t="s">
        <v>3357</v>
      </c>
      <c r="F49" s="1" t="s">
        <v>1876</v>
      </c>
      <c r="G49" s="1" t="s">
        <v>3358</v>
      </c>
    </row>
    <row r="50" spans="1:7" x14ac:dyDescent="0.4">
      <c r="A50" s="1" t="s">
        <v>3359</v>
      </c>
      <c r="C50" s="1">
        <v>0</v>
      </c>
      <c r="D50" s="1">
        <v>1</v>
      </c>
      <c r="E50" s="1" t="s">
        <v>3281</v>
      </c>
      <c r="F50" s="1" t="s">
        <v>292</v>
      </c>
      <c r="G50" s="1" t="s">
        <v>3360</v>
      </c>
    </row>
    <row r="51" spans="1:7" x14ac:dyDescent="0.4">
      <c r="A51" s="1" t="s">
        <v>2479</v>
      </c>
      <c r="C51" s="1">
        <v>1</v>
      </c>
      <c r="D51" s="1">
        <v>0</v>
      </c>
      <c r="E51" s="1" t="s">
        <v>3328</v>
      </c>
      <c r="F51" s="1" t="s">
        <v>171</v>
      </c>
      <c r="G51" s="1" t="s">
        <v>3329</v>
      </c>
    </row>
    <row r="52" spans="1:7" x14ac:dyDescent="0.4">
      <c r="A52" s="1" t="s">
        <v>2132</v>
      </c>
      <c r="C52" s="1">
        <v>1</v>
      </c>
      <c r="D52" s="1">
        <v>0</v>
      </c>
      <c r="E52" s="1" t="s">
        <v>3309</v>
      </c>
      <c r="F52" s="1" t="s">
        <v>1378</v>
      </c>
      <c r="G52" s="1" t="s">
        <v>3361</v>
      </c>
    </row>
    <row r="53" spans="1:7" x14ac:dyDescent="0.4">
      <c r="A53" s="1" t="s">
        <v>3362</v>
      </c>
      <c r="C53" s="1">
        <v>0</v>
      </c>
      <c r="D53" s="1">
        <v>1</v>
      </c>
      <c r="E53" s="1" t="s">
        <v>3328</v>
      </c>
      <c r="F53" s="1" t="s">
        <v>81</v>
      </c>
      <c r="G53" s="1" t="s">
        <v>3363</v>
      </c>
    </row>
    <row r="54" spans="1:7" x14ac:dyDescent="0.4">
      <c r="A54" s="1" t="s">
        <v>1366</v>
      </c>
      <c r="C54" s="1">
        <v>1</v>
      </c>
      <c r="D54" s="1">
        <v>0</v>
      </c>
      <c r="E54" s="1" t="s">
        <v>3364</v>
      </c>
      <c r="F54" s="1" t="s">
        <v>61</v>
      </c>
      <c r="G54" s="15">
        <v>30713</v>
      </c>
    </row>
    <row r="55" spans="1:7" x14ac:dyDescent="0.4">
      <c r="A55" s="1" t="s">
        <v>3365</v>
      </c>
      <c r="C55" s="1">
        <v>1</v>
      </c>
      <c r="D55" s="1">
        <v>0</v>
      </c>
      <c r="E55" s="1" t="s">
        <v>3366</v>
      </c>
      <c r="F55" s="1" t="s">
        <v>735</v>
      </c>
      <c r="G55" s="1" t="s">
        <v>3367</v>
      </c>
    </row>
    <row r="56" spans="1:7" x14ac:dyDescent="0.4">
      <c r="A56" s="1" t="s">
        <v>3368</v>
      </c>
      <c r="C56" s="1">
        <v>1</v>
      </c>
      <c r="D56" s="1">
        <v>0</v>
      </c>
      <c r="E56" s="1" t="s">
        <v>3369</v>
      </c>
      <c r="F56" s="1" t="s">
        <v>61</v>
      </c>
      <c r="G56" s="16">
        <v>46032</v>
      </c>
    </row>
    <row r="57" spans="1:7" x14ac:dyDescent="0.4">
      <c r="A57" s="1" t="s">
        <v>1384</v>
      </c>
      <c r="C57" s="1">
        <v>1</v>
      </c>
      <c r="D57" s="1">
        <v>1</v>
      </c>
      <c r="E57" s="1" t="s">
        <v>3364</v>
      </c>
      <c r="F57" s="1" t="s">
        <v>1378</v>
      </c>
      <c r="G57" s="15">
        <v>31079</v>
      </c>
    </row>
    <row r="58" spans="1:7" x14ac:dyDescent="0.4">
      <c r="A58" s="1" t="s">
        <v>3370</v>
      </c>
      <c r="C58" s="1">
        <v>0</v>
      </c>
      <c r="D58" s="1">
        <v>1</v>
      </c>
      <c r="E58" s="1" t="s">
        <v>3371</v>
      </c>
      <c r="F58" s="1" t="s">
        <v>61</v>
      </c>
      <c r="G58" s="15">
        <v>16438</v>
      </c>
    </row>
    <row r="59" spans="1:7" x14ac:dyDescent="0.4">
      <c r="A59" s="1" t="s">
        <v>3372</v>
      </c>
      <c r="C59" s="1">
        <v>1</v>
      </c>
      <c r="D59" s="1">
        <v>1</v>
      </c>
      <c r="E59" s="1" t="s">
        <v>3366</v>
      </c>
      <c r="F59" s="1" t="s">
        <v>735</v>
      </c>
      <c r="G59" s="1" t="s">
        <v>3373</v>
      </c>
    </row>
    <row r="60" spans="1:7" x14ac:dyDescent="0.4">
      <c r="A60" s="1" t="s">
        <v>3374</v>
      </c>
      <c r="C60" s="1">
        <v>0</v>
      </c>
      <c r="D60" s="1">
        <v>1</v>
      </c>
      <c r="E60" s="1" t="s">
        <v>3375</v>
      </c>
      <c r="F60" s="1" t="s">
        <v>61</v>
      </c>
      <c r="G60" s="16">
        <v>46051</v>
      </c>
    </row>
    <row r="61" spans="1:7" x14ac:dyDescent="0.4">
      <c r="A61" s="1" t="s">
        <v>3376</v>
      </c>
      <c r="C61" s="1">
        <v>1</v>
      </c>
      <c r="D61" s="1">
        <v>0</v>
      </c>
      <c r="E61" s="1" t="s">
        <v>3377</v>
      </c>
      <c r="F61" s="1" t="s">
        <v>81</v>
      </c>
      <c r="G61" s="16">
        <v>46034</v>
      </c>
    </row>
    <row r="62" spans="1:7" x14ac:dyDescent="0.4">
      <c r="A62" s="1" t="s">
        <v>3378</v>
      </c>
      <c r="C62" s="1">
        <v>1</v>
      </c>
      <c r="D62" s="1">
        <v>0</v>
      </c>
      <c r="E62" s="1" t="s">
        <v>3379</v>
      </c>
      <c r="F62" s="1" t="s">
        <v>61</v>
      </c>
      <c r="G62" s="15">
        <v>33270</v>
      </c>
    </row>
    <row r="63" spans="1:7" x14ac:dyDescent="0.4">
      <c r="A63" s="1" t="s">
        <v>3380</v>
      </c>
      <c r="C63" s="1">
        <v>1</v>
      </c>
      <c r="D63" s="1">
        <v>0</v>
      </c>
      <c r="E63" s="1" t="s">
        <v>3381</v>
      </c>
      <c r="F63" s="1" t="s">
        <v>171</v>
      </c>
      <c r="G63" s="15">
        <v>14246</v>
      </c>
    </row>
    <row r="64" spans="1:7" x14ac:dyDescent="0.4">
      <c r="A64" s="1" t="s">
        <v>3382</v>
      </c>
      <c r="C64" s="1">
        <v>1</v>
      </c>
      <c r="D64" s="1">
        <v>0</v>
      </c>
      <c r="E64" s="1" t="s">
        <v>3379</v>
      </c>
      <c r="F64" s="1" t="s">
        <v>259</v>
      </c>
      <c r="G64" s="15">
        <v>34001</v>
      </c>
    </row>
    <row r="65" spans="1:7" x14ac:dyDescent="0.4">
      <c r="A65" s="1" t="s">
        <v>3383</v>
      </c>
      <c r="C65" s="1">
        <v>1</v>
      </c>
      <c r="D65" s="1">
        <v>0</v>
      </c>
      <c r="E65" s="1" t="s">
        <v>3268</v>
      </c>
      <c r="F65" s="1" t="s">
        <v>2663</v>
      </c>
      <c r="G65" s="1" t="s">
        <v>3384</v>
      </c>
    </row>
    <row r="66" spans="1:7" x14ac:dyDescent="0.4">
      <c r="A66" s="1" t="s">
        <v>1544</v>
      </c>
      <c r="C66" s="1">
        <v>0</v>
      </c>
      <c r="D66" s="1">
        <v>1</v>
      </c>
      <c r="E66" s="1" t="s">
        <v>3379</v>
      </c>
      <c r="F66" s="1" t="s">
        <v>259</v>
      </c>
      <c r="G66" s="1" t="s">
        <v>3385</v>
      </c>
    </row>
    <row r="67" spans="1:7" x14ac:dyDescent="0.4">
      <c r="A67" s="1" t="s">
        <v>3386</v>
      </c>
      <c r="C67" s="1">
        <v>0</v>
      </c>
      <c r="D67" s="1">
        <v>1</v>
      </c>
      <c r="E67" s="1" t="s">
        <v>3345</v>
      </c>
      <c r="F67" s="1" t="s">
        <v>735</v>
      </c>
      <c r="G67" s="1" t="s">
        <v>3387</v>
      </c>
    </row>
    <row r="68" spans="1:7" x14ac:dyDescent="0.4">
      <c r="A68" s="1" t="s">
        <v>876</v>
      </c>
      <c r="C68" s="1">
        <v>0</v>
      </c>
      <c r="D68" s="1">
        <v>1</v>
      </c>
      <c r="E68" s="1" t="s">
        <v>3388</v>
      </c>
      <c r="F68" s="1" t="s">
        <v>171</v>
      </c>
      <c r="G68" s="15">
        <v>19025</v>
      </c>
    </row>
    <row r="69" spans="1:7" x14ac:dyDescent="0.4">
      <c r="A69" s="1" t="s">
        <v>3389</v>
      </c>
      <c r="C69" s="1">
        <v>1</v>
      </c>
      <c r="D69" s="1">
        <v>0</v>
      </c>
      <c r="E69" s="1" t="s">
        <v>3390</v>
      </c>
      <c r="F69" s="1" t="s">
        <v>119</v>
      </c>
      <c r="G69" s="16">
        <v>46027</v>
      </c>
    </row>
    <row r="70" spans="1:7" x14ac:dyDescent="0.4">
      <c r="A70" s="1" t="s">
        <v>3391</v>
      </c>
      <c r="C70" s="1">
        <v>0</v>
      </c>
      <c r="D70" s="1">
        <v>1</v>
      </c>
      <c r="E70" s="1" t="s">
        <v>3392</v>
      </c>
      <c r="F70" s="1" t="s">
        <v>916</v>
      </c>
      <c r="G70" s="15">
        <v>20121</v>
      </c>
    </row>
    <row r="71" spans="1:7" x14ac:dyDescent="0.4">
      <c r="A71" s="1" t="s">
        <v>3393</v>
      </c>
      <c r="C71" s="1">
        <v>1</v>
      </c>
      <c r="D71" s="1">
        <v>0</v>
      </c>
      <c r="E71" s="1" t="s">
        <v>3394</v>
      </c>
      <c r="F71" s="1" t="s">
        <v>61</v>
      </c>
      <c r="G71" s="15">
        <v>29618</v>
      </c>
    </row>
    <row r="72" spans="1:7" x14ac:dyDescent="0.4">
      <c r="A72" s="1" t="s">
        <v>1077</v>
      </c>
      <c r="C72" s="1">
        <v>1</v>
      </c>
      <c r="D72" s="1">
        <v>0</v>
      </c>
      <c r="E72" s="1" t="s">
        <v>3395</v>
      </c>
      <c r="F72" s="1" t="s">
        <v>171</v>
      </c>
      <c r="G72" s="15">
        <v>24139</v>
      </c>
    </row>
    <row r="73" spans="1:7" x14ac:dyDescent="0.4">
      <c r="A73" s="1" t="s">
        <v>3396</v>
      </c>
      <c r="C73" s="1">
        <v>0</v>
      </c>
      <c r="D73" s="1">
        <v>1</v>
      </c>
      <c r="E73" s="1" t="s">
        <v>3397</v>
      </c>
      <c r="F73" s="1" t="s">
        <v>61</v>
      </c>
      <c r="G73" s="16">
        <v>46052</v>
      </c>
    </row>
    <row r="74" spans="1:7" x14ac:dyDescent="0.4">
      <c r="A74" s="1" t="s">
        <v>2054</v>
      </c>
      <c r="C74" s="1">
        <v>1</v>
      </c>
      <c r="D74" s="1">
        <v>0</v>
      </c>
      <c r="E74" s="1" t="s">
        <v>3398</v>
      </c>
      <c r="F74" s="1" t="s">
        <v>61</v>
      </c>
      <c r="G74" s="1" t="s">
        <v>3399</v>
      </c>
    </row>
    <row r="75" spans="1:7" x14ac:dyDescent="0.4">
      <c r="A75" s="1" t="s">
        <v>3400</v>
      </c>
      <c r="C75" s="1">
        <v>0</v>
      </c>
      <c r="D75" s="1">
        <v>1</v>
      </c>
      <c r="E75" s="1" t="s">
        <v>3401</v>
      </c>
      <c r="F75" s="1" t="s">
        <v>292</v>
      </c>
      <c r="G75" s="15">
        <v>22678</v>
      </c>
    </row>
    <row r="76" spans="1:7" x14ac:dyDescent="0.4">
      <c r="A76" s="1" t="s">
        <v>3402</v>
      </c>
      <c r="C76" s="1">
        <v>0</v>
      </c>
      <c r="D76" s="1">
        <v>1</v>
      </c>
      <c r="E76" s="1" t="s">
        <v>3403</v>
      </c>
      <c r="F76" s="1" t="s">
        <v>2663</v>
      </c>
      <c r="G76" s="1" t="s">
        <v>3404</v>
      </c>
    </row>
    <row r="77" spans="1:7" x14ac:dyDescent="0.4">
      <c r="A77" s="1" t="s">
        <v>2590</v>
      </c>
      <c r="C77" s="1">
        <v>1</v>
      </c>
      <c r="D77" s="1">
        <v>0</v>
      </c>
      <c r="E77" s="1" t="s">
        <v>3319</v>
      </c>
      <c r="F77" s="1" t="s">
        <v>1378</v>
      </c>
      <c r="G77" s="1" t="s">
        <v>3405</v>
      </c>
    </row>
    <row r="78" spans="1:7" x14ac:dyDescent="0.4">
      <c r="A78" s="1" t="s">
        <v>1399</v>
      </c>
      <c r="C78" s="1">
        <v>1</v>
      </c>
      <c r="D78" s="1">
        <v>0</v>
      </c>
      <c r="E78" s="1" t="s">
        <v>3339</v>
      </c>
      <c r="F78" s="1" t="s">
        <v>292</v>
      </c>
      <c r="G78" s="15">
        <v>31444</v>
      </c>
    </row>
    <row r="79" spans="1:7" x14ac:dyDescent="0.4">
      <c r="A79" s="1" t="s">
        <v>3406</v>
      </c>
      <c r="C79" s="1">
        <v>0</v>
      </c>
      <c r="D79" s="1">
        <v>1</v>
      </c>
      <c r="E79" s="1" t="s">
        <v>3407</v>
      </c>
      <c r="F79" s="1" t="s">
        <v>61</v>
      </c>
      <c r="G79" s="16">
        <v>46024</v>
      </c>
    </row>
    <row r="80" spans="1:7" x14ac:dyDescent="0.4">
      <c r="A80" s="1" t="s">
        <v>3408</v>
      </c>
      <c r="C80" s="1">
        <v>1</v>
      </c>
      <c r="D80" s="1">
        <v>0</v>
      </c>
      <c r="E80" s="1" t="s">
        <v>3409</v>
      </c>
      <c r="F80" s="1" t="s">
        <v>292</v>
      </c>
      <c r="G80" s="16">
        <v>46038</v>
      </c>
    </row>
    <row r="81" spans="1:7" x14ac:dyDescent="0.4">
      <c r="A81" s="1" t="s">
        <v>3410</v>
      </c>
      <c r="C81" s="1">
        <v>0</v>
      </c>
      <c r="D81" s="1">
        <v>1</v>
      </c>
      <c r="E81" s="1" t="s">
        <v>3366</v>
      </c>
      <c r="F81" s="1" t="s">
        <v>1378</v>
      </c>
      <c r="G81" s="1" t="s">
        <v>3411</v>
      </c>
    </row>
    <row r="82" spans="1:7" x14ac:dyDescent="0.4">
      <c r="A82" s="1" t="s">
        <v>3412</v>
      </c>
      <c r="C82" s="1">
        <v>0</v>
      </c>
      <c r="D82" s="1">
        <v>1</v>
      </c>
      <c r="E82" s="1" t="s">
        <v>3413</v>
      </c>
      <c r="F82" s="1" t="s">
        <v>171</v>
      </c>
      <c r="G82" s="1" t="s">
        <v>3414</v>
      </c>
    </row>
    <row r="83" spans="1:7" x14ac:dyDescent="0.4">
      <c r="A83" s="1" t="s">
        <v>3415</v>
      </c>
      <c r="C83" s="1">
        <v>0</v>
      </c>
      <c r="D83" s="1">
        <v>1</v>
      </c>
      <c r="E83" s="1" t="s">
        <v>3413</v>
      </c>
      <c r="F83" s="1" t="s">
        <v>171</v>
      </c>
      <c r="G83" s="1" t="s">
        <v>3416</v>
      </c>
    </row>
    <row r="84" spans="1:7" x14ac:dyDescent="0.4">
      <c r="A84" s="1" t="s">
        <v>3417</v>
      </c>
      <c r="C84" s="1">
        <v>0</v>
      </c>
      <c r="D84" s="1">
        <v>1</v>
      </c>
      <c r="E84" s="1" t="s">
        <v>3379</v>
      </c>
      <c r="F84" s="1" t="s">
        <v>61</v>
      </c>
      <c r="G84" s="15">
        <v>33270</v>
      </c>
    </row>
    <row r="85" spans="1:7" x14ac:dyDescent="0.4">
      <c r="A85" s="1" t="s">
        <v>3418</v>
      </c>
      <c r="C85" s="1">
        <v>1</v>
      </c>
      <c r="D85" s="1">
        <v>0</v>
      </c>
      <c r="E85" s="1" t="s">
        <v>3419</v>
      </c>
      <c r="F85" s="1" t="s">
        <v>61</v>
      </c>
      <c r="G85" s="15">
        <v>26330</v>
      </c>
    </row>
    <row r="86" spans="1:7" x14ac:dyDescent="0.4">
      <c r="A86" s="1" t="s">
        <v>1039</v>
      </c>
      <c r="C86" s="1">
        <v>0</v>
      </c>
      <c r="D86" s="1">
        <v>1</v>
      </c>
      <c r="E86" s="1" t="s">
        <v>3420</v>
      </c>
      <c r="F86" s="1" t="s">
        <v>292</v>
      </c>
      <c r="G86" s="15">
        <v>23043</v>
      </c>
    </row>
    <row r="87" spans="1:7" x14ac:dyDescent="0.4">
      <c r="A87" s="1" t="s">
        <v>1127</v>
      </c>
      <c r="C87" s="1">
        <v>0</v>
      </c>
      <c r="D87" s="1">
        <v>1</v>
      </c>
      <c r="E87" s="1" t="s">
        <v>3421</v>
      </c>
      <c r="F87" s="1" t="s">
        <v>292</v>
      </c>
      <c r="G87" s="15">
        <v>25600</v>
      </c>
    </row>
    <row r="88" spans="1:7" x14ac:dyDescent="0.4">
      <c r="A88" s="1" t="s">
        <v>3422</v>
      </c>
      <c r="C88" s="1">
        <v>1</v>
      </c>
      <c r="D88" s="1">
        <v>0</v>
      </c>
      <c r="E88" s="1" t="s">
        <v>3423</v>
      </c>
      <c r="F88" s="1" t="s">
        <v>735</v>
      </c>
      <c r="G88" s="1" t="s">
        <v>3424</v>
      </c>
    </row>
    <row r="89" spans="1:7" x14ac:dyDescent="0.4">
      <c r="A89" s="1" t="s">
        <v>1174</v>
      </c>
      <c r="C89" s="1">
        <v>1</v>
      </c>
      <c r="D89" s="1">
        <v>0</v>
      </c>
      <c r="E89" s="1" t="s">
        <v>3312</v>
      </c>
      <c r="F89" s="1" t="s">
        <v>292</v>
      </c>
      <c r="G89" s="15">
        <v>25965</v>
      </c>
    </row>
    <row r="90" spans="1:7" x14ac:dyDescent="0.4">
      <c r="A90" s="1" t="s">
        <v>3425</v>
      </c>
      <c r="C90" s="1">
        <v>0</v>
      </c>
      <c r="D90" s="1">
        <v>1</v>
      </c>
      <c r="E90" s="1" t="s">
        <v>3426</v>
      </c>
      <c r="F90" s="1" t="s">
        <v>61</v>
      </c>
      <c r="G90" s="16">
        <v>46048</v>
      </c>
    </row>
    <row r="91" spans="1:7" x14ac:dyDescent="0.4">
      <c r="A91" s="1" t="s">
        <v>3427</v>
      </c>
      <c r="C91" s="1">
        <v>0</v>
      </c>
      <c r="D91" s="1">
        <v>1</v>
      </c>
      <c r="E91" s="1" t="s">
        <v>3421</v>
      </c>
      <c r="F91" s="1" t="s">
        <v>292</v>
      </c>
      <c r="G91" s="1" t="s">
        <v>3428</v>
      </c>
    </row>
    <row r="92" spans="1:7" x14ac:dyDescent="0.4">
      <c r="A92" s="1" t="s">
        <v>3429</v>
      </c>
      <c r="C92" s="1">
        <v>1</v>
      </c>
      <c r="D92" s="1">
        <v>0</v>
      </c>
      <c r="E92" s="1" t="s">
        <v>3315</v>
      </c>
      <c r="F92" s="1" t="s">
        <v>259</v>
      </c>
      <c r="G92" s="15">
        <v>13516</v>
      </c>
    </row>
    <row r="93" spans="1:7" x14ac:dyDescent="0.4">
      <c r="A93" s="1" t="s">
        <v>3430</v>
      </c>
      <c r="C93" s="1">
        <v>0</v>
      </c>
      <c r="D93" s="1">
        <v>1</v>
      </c>
      <c r="E93" s="1" t="s">
        <v>3315</v>
      </c>
      <c r="F93" s="1" t="s">
        <v>259</v>
      </c>
      <c r="G93" s="15">
        <v>13516</v>
      </c>
    </row>
    <row r="94" spans="1:7" x14ac:dyDescent="0.4">
      <c r="A94" s="1" t="s">
        <v>808</v>
      </c>
      <c r="C94" s="1">
        <v>0</v>
      </c>
      <c r="D94" s="1">
        <v>1</v>
      </c>
      <c r="E94" s="1" t="s">
        <v>3371</v>
      </c>
      <c r="F94" s="1" t="s">
        <v>292</v>
      </c>
      <c r="G94" s="15">
        <v>17533</v>
      </c>
    </row>
    <row r="95" spans="1:7" x14ac:dyDescent="0.4">
      <c r="A95" s="1" t="s">
        <v>3431</v>
      </c>
      <c r="C95" s="1">
        <v>0</v>
      </c>
      <c r="D95" s="1">
        <v>1</v>
      </c>
      <c r="E95" s="1" t="s">
        <v>3409</v>
      </c>
      <c r="F95" s="1" t="s">
        <v>259</v>
      </c>
      <c r="G95" s="16">
        <v>46036</v>
      </c>
    </row>
    <row r="96" spans="1:7" x14ac:dyDescent="0.4">
      <c r="A96" s="1" t="s">
        <v>2036</v>
      </c>
      <c r="C96" s="1">
        <v>1</v>
      </c>
      <c r="D96" s="1">
        <v>0</v>
      </c>
      <c r="E96" s="1" t="s">
        <v>3366</v>
      </c>
      <c r="F96" s="1" t="s">
        <v>1378</v>
      </c>
      <c r="G96" s="1" t="s">
        <v>3411</v>
      </c>
    </row>
    <row r="97" spans="1:7" x14ac:dyDescent="0.4">
      <c r="A97" s="1" t="s">
        <v>3432</v>
      </c>
      <c r="C97" s="1">
        <v>1</v>
      </c>
      <c r="D97" s="1">
        <v>0</v>
      </c>
      <c r="E97" s="1" t="s">
        <v>3403</v>
      </c>
      <c r="F97" s="1" t="s">
        <v>2663</v>
      </c>
      <c r="G97" s="1" t="s">
        <v>3404</v>
      </c>
    </row>
    <row r="98" spans="1:7" x14ac:dyDescent="0.4">
      <c r="A98" s="1" t="s">
        <v>3433</v>
      </c>
      <c r="C98" s="1">
        <v>0</v>
      </c>
      <c r="D98" s="1">
        <v>1</v>
      </c>
      <c r="E98" s="1" t="s">
        <v>3319</v>
      </c>
      <c r="F98" s="1" t="s">
        <v>735</v>
      </c>
      <c r="G98" s="1" t="s">
        <v>3434</v>
      </c>
    </row>
    <row r="99" spans="1:7" x14ac:dyDescent="0.4">
      <c r="A99" s="1" t="s">
        <v>3435</v>
      </c>
      <c r="C99" s="1">
        <v>1</v>
      </c>
      <c r="D99" s="1">
        <v>0</v>
      </c>
      <c r="E99" s="1" t="s">
        <v>3436</v>
      </c>
      <c r="F99" s="1" t="s">
        <v>2663</v>
      </c>
      <c r="G99" s="1" t="s">
        <v>3437</v>
      </c>
    </row>
    <row r="100" spans="1:7" x14ac:dyDescent="0.4">
      <c r="A100" s="1" t="s">
        <v>1159</v>
      </c>
      <c r="C100" s="1">
        <v>0</v>
      </c>
      <c r="D100" s="1">
        <v>1</v>
      </c>
      <c r="E100" s="1" t="s">
        <v>3421</v>
      </c>
      <c r="F100" s="1" t="s">
        <v>292</v>
      </c>
      <c r="G100" s="1" t="s">
        <v>3438</v>
      </c>
    </row>
    <row r="101" spans="1:7" x14ac:dyDescent="0.4">
      <c r="A101" s="1" t="s">
        <v>3439</v>
      </c>
      <c r="C101" s="1">
        <v>1</v>
      </c>
      <c r="D101" s="1">
        <v>0</v>
      </c>
      <c r="E101" s="1" t="s">
        <v>3328</v>
      </c>
      <c r="F101" s="1" t="s">
        <v>1876</v>
      </c>
      <c r="G101" s="1" t="s">
        <v>3440</v>
      </c>
    </row>
    <row r="102" spans="1:7" x14ac:dyDescent="0.4">
      <c r="A102" s="1" t="s">
        <v>1020</v>
      </c>
      <c r="C102" s="1">
        <v>1</v>
      </c>
      <c r="D102" s="1">
        <v>0</v>
      </c>
      <c r="E102" s="1" t="s">
        <v>3401</v>
      </c>
      <c r="F102" s="1" t="s">
        <v>292</v>
      </c>
      <c r="G102" s="15">
        <v>22678</v>
      </c>
    </row>
    <row r="103" spans="1:7" x14ac:dyDescent="0.4">
      <c r="A103" s="1" t="s">
        <v>3441</v>
      </c>
      <c r="C103" s="1">
        <v>1</v>
      </c>
      <c r="D103" s="1">
        <v>0</v>
      </c>
      <c r="E103" s="1" t="s">
        <v>3442</v>
      </c>
      <c r="F103" s="1" t="s">
        <v>259</v>
      </c>
      <c r="G103" s="15">
        <v>14611</v>
      </c>
    </row>
    <row r="104" spans="1:7" x14ac:dyDescent="0.4">
      <c r="A104" s="1" t="s">
        <v>1090</v>
      </c>
      <c r="C104" s="1">
        <v>1</v>
      </c>
      <c r="D104" s="1">
        <v>0</v>
      </c>
      <c r="E104" s="1" t="s">
        <v>3443</v>
      </c>
      <c r="F104" s="1" t="s">
        <v>259</v>
      </c>
      <c r="G104" s="15">
        <v>15342</v>
      </c>
    </row>
    <row r="105" spans="1:7" x14ac:dyDescent="0.4">
      <c r="A105" s="1" t="s">
        <v>984</v>
      </c>
      <c r="C105" s="1">
        <v>0</v>
      </c>
      <c r="D105" s="1">
        <v>1</v>
      </c>
      <c r="E105" s="1" t="s">
        <v>3338</v>
      </c>
      <c r="F105" s="1" t="s">
        <v>259</v>
      </c>
      <c r="G105" s="15">
        <v>21582</v>
      </c>
    </row>
    <row r="106" spans="1:7" x14ac:dyDescent="0.4">
      <c r="A106" s="1" t="s">
        <v>1037</v>
      </c>
      <c r="C106" s="1">
        <v>1</v>
      </c>
      <c r="D106" s="1">
        <v>0</v>
      </c>
      <c r="E106" s="1" t="s">
        <v>3420</v>
      </c>
      <c r="F106" s="1" t="s">
        <v>292</v>
      </c>
      <c r="G106" s="15">
        <v>23043</v>
      </c>
    </row>
    <row r="107" spans="1:7" x14ac:dyDescent="0.4">
      <c r="A107" s="1" t="s">
        <v>1368</v>
      </c>
      <c r="C107" s="1">
        <v>0</v>
      </c>
      <c r="D107" s="1">
        <v>1</v>
      </c>
      <c r="E107" s="1" t="s">
        <v>3364</v>
      </c>
      <c r="F107" s="1" t="s">
        <v>61</v>
      </c>
      <c r="G107" s="15">
        <v>30713</v>
      </c>
    </row>
    <row r="108" spans="1:7" x14ac:dyDescent="0.4">
      <c r="A108" s="1" t="s">
        <v>3444</v>
      </c>
      <c r="C108" s="1">
        <v>0</v>
      </c>
      <c r="D108" s="1">
        <v>1</v>
      </c>
      <c r="E108" s="1" t="s">
        <v>3409</v>
      </c>
      <c r="F108" s="1" t="s">
        <v>292</v>
      </c>
      <c r="G108" s="16">
        <v>46038</v>
      </c>
    </row>
    <row r="109" spans="1:7" x14ac:dyDescent="0.4">
      <c r="A109" s="1" t="s">
        <v>3445</v>
      </c>
      <c r="C109" s="1">
        <v>1</v>
      </c>
      <c r="D109" s="1">
        <v>0</v>
      </c>
      <c r="E109" s="1" t="s">
        <v>3319</v>
      </c>
      <c r="F109" s="1" t="s">
        <v>735</v>
      </c>
      <c r="G109" s="1" t="s">
        <v>3434</v>
      </c>
    </row>
    <row r="110" spans="1:7" x14ac:dyDescent="0.4">
      <c r="A110" s="1" t="s">
        <v>3446</v>
      </c>
      <c r="C110" s="1">
        <v>1</v>
      </c>
      <c r="D110" s="1">
        <v>0</v>
      </c>
      <c r="E110" s="1" t="s">
        <v>3281</v>
      </c>
      <c r="F110" s="1" t="s">
        <v>292</v>
      </c>
      <c r="G110" s="1" t="s">
        <v>3360</v>
      </c>
    </row>
    <row r="111" spans="1:7" x14ac:dyDescent="0.4">
      <c r="A111" s="1" t="s">
        <v>3447</v>
      </c>
      <c r="C111" s="1">
        <v>0</v>
      </c>
      <c r="D111" s="1">
        <v>1</v>
      </c>
      <c r="E111" s="1" t="s">
        <v>3312</v>
      </c>
      <c r="F111" s="1" t="s">
        <v>292</v>
      </c>
      <c r="G111" s="15">
        <v>25965</v>
      </c>
    </row>
    <row r="112" spans="1:7" x14ac:dyDescent="0.4">
      <c r="A112" s="1" t="s">
        <v>3448</v>
      </c>
      <c r="C112" s="1">
        <v>1</v>
      </c>
      <c r="D112" s="1">
        <v>0</v>
      </c>
      <c r="E112" s="1" t="s">
        <v>3319</v>
      </c>
      <c r="F112" s="1" t="s">
        <v>735</v>
      </c>
      <c r="G112" s="1" t="s">
        <v>3434</v>
      </c>
    </row>
    <row r="113" spans="1:7" x14ac:dyDescent="0.4">
      <c r="A113" s="1" t="s">
        <v>3449</v>
      </c>
      <c r="C113" s="1">
        <v>1</v>
      </c>
      <c r="D113" s="1">
        <v>0</v>
      </c>
      <c r="E113" s="1" t="s">
        <v>3317</v>
      </c>
      <c r="F113" s="1" t="s">
        <v>61</v>
      </c>
      <c r="G113" s="15">
        <v>13881</v>
      </c>
    </row>
    <row r="114" spans="1:7" x14ac:dyDescent="0.4">
      <c r="A114" s="1" t="s">
        <v>3450</v>
      </c>
      <c r="C114" s="1">
        <v>1</v>
      </c>
      <c r="D114" s="1">
        <v>0</v>
      </c>
      <c r="E114" s="1" t="s">
        <v>3369</v>
      </c>
      <c r="F114" s="1" t="s">
        <v>190</v>
      </c>
      <c r="G114" s="16">
        <v>46031</v>
      </c>
    </row>
    <row r="115" spans="1:7" x14ac:dyDescent="0.4">
      <c r="A115" s="1" t="s">
        <v>3451</v>
      </c>
      <c r="C115" s="1">
        <v>0</v>
      </c>
      <c r="D115" s="1">
        <v>1</v>
      </c>
      <c r="E115" s="1" t="s">
        <v>3317</v>
      </c>
      <c r="F115" s="1" t="s">
        <v>61</v>
      </c>
      <c r="G115" s="15">
        <v>13881</v>
      </c>
    </row>
    <row r="116" spans="1:7" x14ac:dyDescent="0.4">
      <c r="A116" s="1" t="s">
        <v>1079</v>
      </c>
      <c r="C116" s="1">
        <v>0</v>
      </c>
      <c r="D116" s="1">
        <v>1</v>
      </c>
      <c r="E116" s="1" t="s">
        <v>3395</v>
      </c>
      <c r="F116" s="1" t="s">
        <v>171</v>
      </c>
      <c r="G116" s="15">
        <v>24139</v>
      </c>
    </row>
    <row r="117" spans="1:7" x14ac:dyDescent="0.4">
      <c r="A117" s="1" t="s">
        <v>3452</v>
      </c>
      <c r="C117" s="1">
        <v>1</v>
      </c>
      <c r="D117" s="1">
        <v>1</v>
      </c>
      <c r="E117" s="1" t="s">
        <v>3453</v>
      </c>
      <c r="F117" s="1" t="s">
        <v>190</v>
      </c>
      <c r="G117" s="16">
        <v>46033</v>
      </c>
    </row>
    <row r="118" spans="1:7" x14ac:dyDescent="0.4">
      <c r="A118" s="1" t="s">
        <v>3454</v>
      </c>
      <c r="C118" s="1">
        <v>1</v>
      </c>
      <c r="D118" s="1">
        <v>0</v>
      </c>
      <c r="E118" s="1" t="s">
        <v>3455</v>
      </c>
      <c r="F118" s="1" t="s">
        <v>61</v>
      </c>
      <c r="G118" s="15">
        <v>29252</v>
      </c>
    </row>
    <row r="119" spans="1:7" x14ac:dyDescent="0.4">
      <c r="A119" s="1" t="s">
        <v>3456</v>
      </c>
      <c r="C119" s="1">
        <v>0</v>
      </c>
      <c r="D119" s="1">
        <v>1</v>
      </c>
      <c r="E119" s="1" t="s">
        <v>3436</v>
      </c>
      <c r="F119" s="1" t="s">
        <v>2663</v>
      </c>
      <c r="G119" s="1" t="s">
        <v>3437</v>
      </c>
    </row>
    <row r="120" spans="1:7" x14ac:dyDescent="0.4">
      <c r="A120" s="1" t="s">
        <v>1521</v>
      </c>
      <c r="C120" s="1">
        <v>0</v>
      </c>
      <c r="D120" s="1">
        <v>1</v>
      </c>
      <c r="E120" s="1" t="s">
        <v>3379</v>
      </c>
      <c r="F120" s="1" t="s">
        <v>190</v>
      </c>
      <c r="G120" s="15">
        <v>33635</v>
      </c>
    </row>
    <row r="121" spans="1:7" x14ac:dyDescent="0.4">
      <c r="A121" s="1" t="s">
        <v>3457</v>
      </c>
      <c r="C121" s="1">
        <v>1</v>
      </c>
      <c r="D121" s="1">
        <v>0</v>
      </c>
      <c r="E121" s="1" t="s">
        <v>3379</v>
      </c>
      <c r="F121" s="1" t="s">
        <v>190</v>
      </c>
      <c r="G121" s="15">
        <v>33635</v>
      </c>
    </row>
    <row r="122" spans="1:7" x14ac:dyDescent="0.4">
      <c r="A122" s="1" t="s">
        <v>1416</v>
      </c>
      <c r="C122" s="1">
        <v>1</v>
      </c>
      <c r="D122" s="1">
        <v>0</v>
      </c>
      <c r="E122" s="1" t="s">
        <v>3281</v>
      </c>
      <c r="F122" s="1" t="s">
        <v>735</v>
      </c>
      <c r="G122" s="15">
        <v>31809</v>
      </c>
    </row>
    <row r="123" spans="1:7" x14ac:dyDescent="0.4">
      <c r="A123" s="1" t="s">
        <v>3458</v>
      </c>
      <c r="C123" s="1">
        <v>1</v>
      </c>
      <c r="D123" s="1">
        <v>0</v>
      </c>
      <c r="E123" s="1" t="s">
        <v>3369</v>
      </c>
      <c r="F123" s="1" t="s">
        <v>190</v>
      </c>
      <c r="G123" s="16">
        <v>46031</v>
      </c>
    </row>
    <row r="124" spans="1:7" x14ac:dyDescent="0.4">
      <c r="A124" s="1" t="s">
        <v>3459</v>
      </c>
      <c r="C124" s="1">
        <v>0</v>
      </c>
      <c r="D124" s="1">
        <v>1</v>
      </c>
      <c r="E124" s="1" t="s">
        <v>3341</v>
      </c>
      <c r="F124" s="1" t="s">
        <v>259</v>
      </c>
      <c r="G124" s="15">
        <v>12785</v>
      </c>
    </row>
    <row r="125" spans="1:7" x14ac:dyDescent="0.4">
      <c r="A125" s="1" t="s">
        <v>1985</v>
      </c>
      <c r="C125" s="1">
        <v>1</v>
      </c>
      <c r="D125" s="1">
        <v>0</v>
      </c>
      <c r="E125" s="1" t="s">
        <v>3292</v>
      </c>
      <c r="F125" s="1" t="s">
        <v>171</v>
      </c>
      <c r="G125" s="1" t="s">
        <v>3460</v>
      </c>
    </row>
    <row r="126" spans="1:7" x14ac:dyDescent="0.4">
      <c r="A126" s="1" t="s">
        <v>3461</v>
      </c>
      <c r="C126" s="1">
        <v>0</v>
      </c>
      <c r="D126" s="1">
        <v>1</v>
      </c>
      <c r="E126" s="1" t="s">
        <v>3398</v>
      </c>
      <c r="F126" s="1" t="s">
        <v>61</v>
      </c>
      <c r="G126" s="1" t="s">
        <v>3399</v>
      </c>
    </row>
    <row r="127" spans="1:7" x14ac:dyDescent="0.4">
      <c r="A127" s="1" t="s">
        <v>3462</v>
      </c>
      <c r="C127" s="1">
        <v>0</v>
      </c>
      <c r="D127" s="1">
        <v>1</v>
      </c>
      <c r="E127" s="1" t="s">
        <v>3463</v>
      </c>
      <c r="F127" s="1" t="s">
        <v>2663</v>
      </c>
      <c r="G127" s="1" t="s">
        <v>3464</v>
      </c>
    </row>
    <row r="128" spans="1:7" x14ac:dyDescent="0.4">
      <c r="A128" s="1" t="s">
        <v>3465</v>
      </c>
      <c r="C128" s="1">
        <v>0</v>
      </c>
      <c r="D128" s="1">
        <v>1</v>
      </c>
      <c r="E128" s="1" t="s">
        <v>3281</v>
      </c>
      <c r="F128" s="1" t="s">
        <v>292</v>
      </c>
      <c r="G128" s="15">
        <v>32174</v>
      </c>
    </row>
    <row r="129" spans="1:7" x14ac:dyDescent="0.4">
      <c r="A129" s="1" t="s">
        <v>3466</v>
      </c>
      <c r="C129" s="1">
        <v>0</v>
      </c>
      <c r="D129" s="1">
        <v>1</v>
      </c>
      <c r="E129" s="1" t="s">
        <v>3281</v>
      </c>
      <c r="F129" s="1" t="s">
        <v>292</v>
      </c>
      <c r="G129" s="1" t="s">
        <v>3467</v>
      </c>
    </row>
    <row r="130" spans="1:7" x14ac:dyDescent="0.4">
      <c r="A130" s="1" t="s">
        <v>1304</v>
      </c>
      <c r="C130" s="1">
        <v>0</v>
      </c>
      <c r="D130" s="1">
        <v>1</v>
      </c>
      <c r="E130" s="1" t="s">
        <v>3455</v>
      </c>
      <c r="F130" s="1" t="s">
        <v>61</v>
      </c>
      <c r="G130" s="15">
        <v>29252</v>
      </c>
    </row>
    <row r="131" spans="1:7" x14ac:dyDescent="0.4">
      <c r="A131" s="1" t="s">
        <v>3468</v>
      </c>
      <c r="C131" s="1">
        <v>0</v>
      </c>
      <c r="D131" s="1">
        <v>1</v>
      </c>
      <c r="E131" s="1" t="s">
        <v>3268</v>
      </c>
      <c r="F131" s="1" t="s">
        <v>1876</v>
      </c>
      <c r="G131" s="1" t="s">
        <v>3469</v>
      </c>
    </row>
    <row r="132" spans="1:7" x14ac:dyDescent="0.4">
      <c r="A132" s="1" t="s">
        <v>3470</v>
      </c>
      <c r="C132" s="1">
        <v>1</v>
      </c>
      <c r="D132" s="1">
        <v>0</v>
      </c>
      <c r="E132" s="1" t="s">
        <v>3345</v>
      </c>
      <c r="F132" s="1" t="s">
        <v>81</v>
      </c>
      <c r="G132" s="1" t="s">
        <v>3471</v>
      </c>
    </row>
    <row r="133" spans="1:7" x14ac:dyDescent="0.4">
      <c r="A133" s="1" t="s">
        <v>3472</v>
      </c>
      <c r="C133" s="1">
        <v>0</v>
      </c>
      <c r="D133" s="1">
        <v>1</v>
      </c>
      <c r="E133" s="1" t="s">
        <v>3443</v>
      </c>
      <c r="F133" s="1" t="s">
        <v>259</v>
      </c>
      <c r="G133" s="15">
        <v>15342</v>
      </c>
    </row>
    <row r="134" spans="1:7" x14ac:dyDescent="0.4">
      <c r="A134" s="1" t="s">
        <v>3473</v>
      </c>
      <c r="C134" s="1">
        <v>1</v>
      </c>
      <c r="D134" s="1">
        <v>0</v>
      </c>
      <c r="E134" s="1" t="s">
        <v>3474</v>
      </c>
      <c r="F134" s="1" t="s">
        <v>735</v>
      </c>
      <c r="G134" s="15">
        <v>16072</v>
      </c>
    </row>
    <row r="135" spans="1:7" x14ac:dyDescent="0.4">
      <c r="A135" s="1" t="s">
        <v>3475</v>
      </c>
      <c r="C135" s="1">
        <v>1</v>
      </c>
      <c r="D135" s="1">
        <v>0</v>
      </c>
      <c r="E135" s="1" t="s">
        <v>3476</v>
      </c>
      <c r="F135" s="1" t="s">
        <v>259</v>
      </c>
      <c r="G135" s="15">
        <v>27791</v>
      </c>
    </row>
    <row r="136" spans="1:7" x14ac:dyDescent="0.4">
      <c r="A136" s="1" t="s">
        <v>1140</v>
      </c>
      <c r="C136" s="1">
        <v>1</v>
      </c>
      <c r="D136" s="1">
        <v>0</v>
      </c>
      <c r="E136" s="1" t="s">
        <v>3421</v>
      </c>
      <c r="F136" s="1" t="s">
        <v>292</v>
      </c>
      <c r="G136" s="1" t="s">
        <v>3428</v>
      </c>
    </row>
    <row r="137" spans="1:7" x14ac:dyDescent="0.4">
      <c r="A137" s="1" t="s">
        <v>3477</v>
      </c>
      <c r="C137" s="1">
        <v>1</v>
      </c>
      <c r="D137" s="1">
        <v>0</v>
      </c>
      <c r="E137" s="1" t="s">
        <v>3338</v>
      </c>
      <c r="F137" s="1" t="s">
        <v>259</v>
      </c>
      <c r="G137" s="15">
        <v>21582</v>
      </c>
    </row>
    <row r="138" spans="1:7" x14ac:dyDescent="0.4">
      <c r="A138" s="1" t="s">
        <v>3478</v>
      </c>
      <c r="C138" s="1">
        <v>1</v>
      </c>
      <c r="D138" s="1">
        <v>0</v>
      </c>
      <c r="E138" s="1" t="s">
        <v>3338</v>
      </c>
      <c r="F138" s="1" t="s">
        <v>259</v>
      </c>
      <c r="G138" s="15">
        <v>21582</v>
      </c>
    </row>
    <row r="139" spans="1:7" x14ac:dyDescent="0.4">
      <c r="A139" s="1" t="s">
        <v>3479</v>
      </c>
      <c r="C139" s="1">
        <v>1</v>
      </c>
      <c r="D139" s="1">
        <v>0</v>
      </c>
      <c r="E139" s="1" t="s">
        <v>3379</v>
      </c>
      <c r="F139" s="1" t="s">
        <v>259</v>
      </c>
      <c r="G139" s="15">
        <v>34001</v>
      </c>
    </row>
    <row r="140" spans="1:7" x14ac:dyDescent="0.4">
      <c r="A140" s="1" t="s">
        <v>535</v>
      </c>
      <c r="C140" s="1">
        <v>0</v>
      </c>
      <c r="D140" s="1">
        <v>1</v>
      </c>
      <c r="E140" s="1" t="s">
        <v>3480</v>
      </c>
      <c r="F140" s="1" t="s">
        <v>259</v>
      </c>
      <c r="G140" s="15">
        <v>12055</v>
      </c>
    </row>
    <row r="141" spans="1:7" x14ac:dyDescent="0.4">
      <c r="A141" s="1" t="s">
        <v>1535</v>
      </c>
      <c r="C141" s="1">
        <v>0</v>
      </c>
      <c r="D141" s="1">
        <v>1</v>
      </c>
      <c r="E141" s="1" t="s">
        <v>3379</v>
      </c>
      <c r="F141" s="1" t="s">
        <v>259</v>
      </c>
      <c r="G141" s="15">
        <v>34001</v>
      </c>
    </row>
    <row r="142" spans="1:7" x14ac:dyDescent="0.4">
      <c r="A142" s="1" t="s">
        <v>1418</v>
      </c>
      <c r="C142" s="1">
        <v>0</v>
      </c>
      <c r="D142" s="1">
        <v>1</v>
      </c>
      <c r="E142" s="1" t="s">
        <v>3281</v>
      </c>
      <c r="F142" s="1" t="s">
        <v>735</v>
      </c>
      <c r="G142" s="15">
        <v>31809</v>
      </c>
    </row>
    <row r="143" spans="1:7" x14ac:dyDescent="0.4">
      <c r="A143" s="1" t="s">
        <v>3481</v>
      </c>
      <c r="C143" s="1">
        <v>1</v>
      </c>
      <c r="D143" s="1">
        <v>0</v>
      </c>
      <c r="E143" s="1" t="s">
        <v>3371</v>
      </c>
      <c r="F143" s="1" t="s">
        <v>171</v>
      </c>
      <c r="G143" s="15">
        <v>17168</v>
      </c>
    </row>
    <row r="144" spans="1:7" x14ac:dyDescent="0.4">
      <c r="A144" s="1" t="s">
        <v>3482</v>
      </c>
      <c r="C144" s="1">
        <v>0</v>
      </c>
      <c r="D144" s="1">
        <v>1</v>
      </c>
      <c r="E144" s="1" t="s">
        <v>3352</v>
      </c>
      <c r="F144" s="1" t="s">
        <v>292</v>
      </c>
      <c r="G144" s="16">
        <v>46042</v>
      </c>
    </row>
    <row r="145" spans="1:7" x14ac:dyDescent="0.4">
      <c r="A145" s="1" t="s">
        <v>3483</v>
      </c>
      <c r="C145" s="1">
        <v>1</v>
      </c>
      <c r="D145" s="1">
        <v>0</v>
      </c>
      <c r="E145" s="1" t="s">
        <v>3338</v>
      </c>
      <c r="F145" s="1" t="s">
        <v>259</v>
      </c>
      <c r="G145" s="15">
        <v>21217</v>
      </c>
    </row>
    <row r="146" spans="1:7" x14ac:dyDescent="0.4">
      <c r="A146" s="1" t="s">
        <v>3484</v>
      </c>
      <c r="C146" s="1">
        <v>0</v>
      </c>
      <c r="D146" s="1">
        <v>1</v>
      </c>
      <c r="E146" s="1" t="s">
        <v>3345</v>
      </c>
      <c r="F146" s="1" t="s">
        <v>61</v>
      </c>
      <c r="G146" s="1" t="s">
        <v>3485</v>
      </c>
    </row>
    <row r="147" spans="1:7" x14ac:dyDescent="0.4">
      <c r="A147" s="1" t="s">
        <v>3486</v>
      </c>
      <c r="C147" s="1">
        <v>0</v>
      </c>
      <c r="D147" s="1">
        <v>1</v>
      </c>
      <c r="E147" s="1" t="s">
        <v>3476</v>
      </c>
      <c r="F147" s="1" t="s">
        <v>259</v>
      </c>
      <c r="G147" s="15">
        <v>27791</v>
      </c>
    </row>
    <row r="148" spans="1:7" x14ac:dyDescent="0.4">
      <c r="A148" s="1" t="s">
        <v>1549</v>
      </c>
      <c r="C148" s="1">
        <v>1</v>
      </c>
      <c r="D148" s="1">
        <v>0</v>
      </c>
      <c r="E148" s="1" t="s">
        <v>3379</v>
      </c>
      <c r="F148" s="1" t="s">
        <v>259</v>
      </c>
      <c r="G148" s="1" t="s">
        <v>3385</v>
      </c>
    </row>
    <row r="149" spans="1:7" x14ac:dyDescent="0.4">
      <c r="A149" s="1" t="s">
        <v>1972</v>
      </c>
      <c r="C149" s="1">
        <v>0</v>
      </c>
      <c r="D149" s="1">
        <v>1</v>
      </c>
      <c r="E149" s="1" t="s">
        <v>3292</v>
      </c>
      <c r="F149" s="1" t="s">
        <v>61</v>
      </c>
      <c r="G149" s="1" t="s">
        <v>3487</v>
      </c>
    </row>
    <row r="150" spans="1:7" x14ac:dyDescent="0.4">
      <c r="A150" s="1" t="s">
        <v>3488</v>
      </c>
      <c r="C150" s="1">
        <v>1</v>
      </c>
      <c r="D150" s="1">
        <v>0</v>
      </c>
      <c r="E150" s="1" t="s">
        <v>3366</v>
      </c>
      <c r="F150" s="1" t="s">
        <v>735</v>
      </c>
      <c r="G150" s="1" t="s">
        <v>3489</v>
      </c>
    </row>
    <row r="151" spans="1:7" x14ac:dyDescent="0.4">
      <c r="A151" s="1" t="s">
        <v>3490</v>
      </c>
      <c r="C151" s="1">
        <v>1</v>
      </c>
      <c r="D151" s="1">
        <v>0</v>
      </c>
      <c r="E151" s="1" t="s">
        <v>3407</v>
      </c>
      <c r="F151" s="1" t="s">
        <v>61</v>
      </c>
      <c r="G151" s="16">
        <v>46024</v>
      </c>
    </row>
    <row r="152" spans="1:7" x14ac:dyDescent="0.4">
      <c r="A152" s="1" t="s">
        <v>533</v>
      </c>
      <c r="C152" s="1">
        <v>1</v>
      </c>
      <c r="D152" s="1">
        <v>0</v>
      </c>
      <c r="E152" s="1" t="s">
        <v>3480</v>
      </c>
      <c r="F152" s="1" t="s">
        <v>259</v>
      </c>
      <c r="G152" s="15">
        <v>12055</v>
      </c>
    </row>
    <row r="153" spans="1:7" x14ac:dyDescent="0.4">
      <c r="A153" s="1" t="s">
        <v>3491</v>
      </c>
      <c r="C153" s="1">
        <v>1</v>
      </c>
      <c r="D153" s="1">
        <v>0</v>
      </c>
      <c r="E153" s="1" t="s">
        <v>3350</v>
      </c>
      <c r="F153" s="1" t="s">
        <v>81</v>
      </c>
      <c r="G153" s="16">
        <v>46025</v>
      </c>
    </row>
    <row r="154" spans="1:7" x14ac:dyDescent="0.4">
      <c r="A154" s="1" t="s">
        <v>2576</v>
      </c>
      <c r="C154" s="1">
        <v>1</v>
      </c>
      <c r="D154" s="1">
        <v>0</v>
      </c>
      <c r="E154" s="1" t="s">
        <v>3492</v>
      </c>
      <c r="F154" s="1" t="s">
        <v>1876</v>
      </c>
      <c r="G154" s="1" t="s">
        <v>3493</v>
      </c>
    </row>
    <row r="155" spans="1:7" x14ac:dyDescent="0.4">
      <c r="A155" s="1" t="s">
        <v>3494</v>
      </c>
      <c r="C155" s="1">
        <v>1</v>
      </c>
      <c r="D155" s="1">
        <v>0</v>
      </c>
      <c r="E155" s="1" t="s">
        <v>3345</v>
      </c>
      <c r="F155" s="1" t="s">
        <v>994</v>
      </c>
      <c r="G155" s="1" t="s">
        <v>3346</v>
      </c>
    </row>
    <row r="156" spans="1:7" x14ac:dyDescent="0.4">
      <c r="A156" s="1" t="s">
        <v>3495</v>
      </c>
      <c r="C156" s="1">
        <v>1</v>
      </c>
      <c r="D156" s="1">
        <v>0</v>
      </c>
      <c r="E156" s="1" t="s">
        <v>3354</v>
      </c>
      <c r="F156" s="1" t="s">
        <v>61</v>
      </c>
      <c r="G156" s="1" t="s">
        <v>3355</v>
      </c>
    </row>
    <row r="157" spans="1:7" x14ac:dyDescent="0.4">
      <c r="A157" s="1" t="s">
        <v>874</v>
      </c>
      <c r="C157" s="1">
        <v>1</v>
      </c>
      <c r="D157" s="1">
        <v>0</v>
      </c>
      <c r="E157" s="1" t="s">
        <v>3388</v>
      </c>
      <c r="F157" s="1" t="s">
        <v>171</v>
      </c>
      <c r="G157" s="15">
        <v>19025</v>
      </c>
    </row>
    <row r="158" spans="1:7" x14ac:dyDescent="0.4">
      <c r="A158" s="1" t="s">
        <v>681</v>
      </c>
      <c r="C158" s="1">
        <v>0</v>
      </c>
      <c r="D158" s="1">
        <v>1</v>
      </c>
      <c r="E158" s="1" t="s">
        <v>3442</v>
      </c>
      <c r="F158" s="1" t="s">
        <v>259</v>
      </c>
      <c r="G158" s="15">
        <v>14611</v>
      </c>
    </row>
    <row r="159" spans="1:7" x14ac:dyDescent="0.4">
      <c r="A159" s="1" t="s">
        <v>904</v>
      </c>
      <c r="C159" s="1">
        <v>0</v>
      </c>
      <c r="D159" s="1">
        <v>1</v>
      </c>
      <c r="E159" s="1" t="s">
        <v>3331</v>
      </c>
      <c r="F159" s="1" t="s">
        <v>259</v>
      </c>
      <c r="G159" s="15">
        <v>19756</v>
      </c>
    </row>
    <row r="160" spans="1:7" x14ac:dyDescent="0.4">
      <c r="A160" s="1" t="s">
        <v>3496</v>
      </c>
      <c r="C160" s="1">
        <v>1</v>
      </c>
      <c r="D160" s="1">
        <v>0</v>
      </c>
      <c r="E160" s="1" t="s">
        <v>3497</v>
      </c>
      <c r="F160" s="1" t="s">
        <v>735</v>
      </c>
      <c r="G160" s="1" t="s">
        <v>3498</v>
      </c>
    </row>
    <row r="161" spans="1:7" x14ac:dyDescent="0.4">
      <c r="A161" s="1" t="s">
        <v>1850</v>
      </c>
      <c r="C161" s="1">
        <v>1</v>
      </c>
      <c r="D161" s="1">
        <v>1</v>
      </c>
      <c r="E161" s="1" t="s">
        <v>3499</v>
      </c>
      <c r="F161" s="1" t="s">
        <v>735</v>
      </c>
      <c r="G161" s="1" t="s">
        <v>3500</v>
      </c>
    </row>
    <row r="162" spans="1:7" x14ac:dyDescent="0.4">
      <c r="A162" s="1" t="s">
        <v>3501</v>
      </c>
      <c r="C162" s="1">
        <v>1</v>
      </c>
      <c r="D162" s="1">
        <v>1</v>
      </c>
      <c r="E162" s="1" t="s">
        <v>3502</v>
      </c>
      <c r="F162" s="1" t="s">
        <v>81</v>
      </c>
      <c r="G162" s="1" t="s">
        <v>3503</v>
      </c>
    </row>
    <row r="163" spans="1:7" x14ac:dyDescent="0.4">
      <c r="A163" s="1" t="s">
        <v>3504</v>
      </c>
      <c r="C163" s="1">
        <v>1</v>
      </c>
      <c r="D163" s="1">
        <v>0</v>
      </c>
      <c r="E163" s="1" t="s">
        <v>3505</v>
      </c>
      <c r="F163" s="1" t="s">
        <v>2663</v>
      </c>
      <c r="G163" s="1" t="s">
        <v>3506</v>
      </c>
    </row>
    <row r="164" spans="1:7" x14ac:dyDescent="0.4">
      <c r="A164" s="1" t="s">
        <v>3507</v>
      </c>
      <c r="C164" s="1">
        <v>1</v>
      </c>
      <c r="D164" s="1">
        <v>0</v>
      </c>
      <c r="E164" s="1" t="s">
        <v>3322</v>
      </c>
      <c r="F164" s="1" t="s">
        <v>2663</v>
      </c>
      <c r="G164" s="1" t="s">
        <v>3323</v>
      </c>
    </row>
    <row r="165" spans="1:7" x14ac:dyDescent="0.4">
      <c r="A165" s="1" t="s">
        <v>3508</v>
      </c>
      <c r="C165" s="1">
        <v>0</v>
      </c>
      <c r="D165" s="1">
        <v>1</v>
      </c>
      <c r="E165" s="1" t="s">
        <v>3369</v>
      </c>
      <c r="F165" s="1" t="s">
        <v>190</v>
      </c>
      <c r="G165" s="16">
        <v>46031</v>
      </c>
    </row>
    <row r="166" spans="1:7" x14ac:dyDescent="0.4">
      <c r="A166" s="1" t="s">
        <v>3509</v>
      </c>
      <c r="C166" s="1">
        <v>1</v>
      </c>
      <c r="D166" s="1">
        <v>1</v>
      </c>
      <c r="E166" s="1" t="s">
        <v>3510</v>
      </c>
      <c r="F166" s="1" t="s">
        <v>139</v>
      </c>
      <c r="G166" s="16">
        <v>46028</v>
      </c>
    </row>
    <row r="167" spans="1:7" x14ac:dyDescent="0.4">
      <c r="A167" s="1" t="s">
        <v>653</v>
      </c>
      <c r="C167" s="1">
        <v>0</v>
      </c>
      <c r="D167" s="1">
        <v>1</v>
      </c>
      <c r="E167" s="1" t="s">
        <v>3381</v>
      </c>
      <c r="F167" s="1" t="s">
        <v>171</v>
      </c>
      <c r="G167" s="15">
        <v>14246</v>
      </c>
    </row>
    <row r="168" spans="1:7" x14ac:dyDescent="0.4">
      <c r="A168" s="1" t="s">
        <v>3511</v>
      </c>
      <c r="C168" s="1">
        <v>1</v>
      </c>
      <c r="D168" s="1">
        <v>1</v>
      </c>
      <c r="E168" s="1" t="s">
        <v>3436</v>
      </c>
      <c r="F168" s="1" t="s">
        <v>2663</v>
      </c>
      <c r="G168" s="1" t="s">
        <v>3512</v>
      </c>
    </row>
    <row r="169" spans="1:7" x14ac:dyDescent="0.4">
      <c r="A169" s="1" t="s">
        <v>3513</v>
      </c>
      <c r="C169" s="1">
        <v>1</v>
      </c>
      <c r="D169" s="1">
        <v>0</v>
      </c>
      <c r="E169" s="1" t="s">
        <v>3514</v>
      </c>
      <c r="F169" s="1" t="s">
        <v>81</v>
      </c>
      <c r="G169" s="16">
        <v>46026</v>
      </c>
    </row>
    <row r="170" spans="1:7" x14ac:dyDescent="0.4">
      <c r="A170" s="1" t="s">
        <v>3515</v>
      </c>
      <c r="C170" s="1">
        <v>1</v>
      </c>
      <c r="D170" s="1">
        <v>0</v>
      </c>
      <c r="E170" s="1" t="s">
        <v>3409</v>
      </c>
      <c r="F170" s="1" t="s">
        <v>259</v>
      </c>
      <c r="G170" s="16">
        <v>46036</v>
      </c>
    </row>
    <row r="171" spans="1:7" x14ac:dyDescent="0.4">
      <c r="A171" s="1" t="s">
        <v>3516</v>
      </c>
      <c r="C171" s="1">
        <v>1</v>
      </c>
      <c r="D171" s="1">
        <v>0</v>
      </c>
      <c r="E171" s="1" t="s">
        <v>3480</v>
      </c>
      <c r="F171" s="1" t="s">
        <v>292</v>
      </c>
      <c r="G171" s="1" t="s">
        <v>3517</v>
      </c>
    </row>
    <row r="172" spans="1:7" x14ac:dyDescent="0.4">
      <c r="A172" s="1" t="s">
        <v>951</v>
      </c>
      <c r="C172" s="1">
        <v>1</v>
      </c>
      <c r="D172" s="1">
        <v>0</v>
      </c>
      <c r="E172" s="1" t="s">
        <v>3336</v>
      </c>
      <c r="F172" s="1" t="s">
        <v>259</v>
      </c>
      <c r="G172" s="15">
        <v>20852</v>
      </c>
    </row>
    <row r="173" spans="1:7" x14ac:dyDescent="0.4">
      <c r="A173" s="1" t="s">
        <v>3518</v>
      </c>
      <c r="C173" s="1">
        <v>1</v>
      </c>
      <c r="D173" s="1">
        <v>0</v>
      </c>
      <c r="E173" s="1" t="s">
        <v>3357</v>
      </c>
      <c r="F173" s="1" t="s">
        <v>1876</v>
      </c>
      <c r="G173" s="1" t="s">
        <v>3358</v>
      </c>
    </row>
    <row r="174" spans="1:7" x14ac:dyDescent="0.4">
      <c r="A174" s="1" t="s">
        <v>3519</v>
      </c>
      <c r="C174" s="1">
        <v>0</v>
      </c>
      <c r="D174" s="1">
        <v>1</v>
      </c>
      <c r="E174" s="1" t="s">
        <v>3333</v>
      </c>
      <c r="F174" s="1" t="s">
        <v>61</v>
      </c>
      <c r="G174" s="1" t="s">
        <v>3334</v>
      </c>
    </row>
    <row r="175" spans="1:7" x14ac:dyDescent="0.4">
      <c r="A175" s="1" t="s">
        <v>3520</v>
      </c>
      <c r="C175" s="1">
        <v>1</v>
      </c>
      <c r="D175" s="1">
        <v>0</v>
      </c>
      <c r="E175" s="1" t="s">
        <v>3352</v>
      </c>
      <c r="F175" s="1" t="s">
        <v>292</v>
      </c>
      <c r="G175" s="16">
        <v>46042</v>
      </c>
    </row>
    <row r="176" spans="1:7" x14ac:dyDescent="0.4">
      <c r="A176" s="1" t="s">
        <v>3521</v>
      </c>
      <c r="C176" s="1">
        <v>1</v>
      </c>
      <c r="D176" s="1">
        <v>0</v>
      </c>
      <c r="E176" s="1" t="s">
        <v>3423</v>
      </c>
      <c r="F176" s="1" t="s">
        <v>171</v>
      </c>
      <c r="G176" s="1" t="s">
        <v>3522</v>
      </c>
    </row>
    <row r="177" spans="1:7" x14ac:dyDescent="0.4">
      <c r="A177" s="1" t="s">
        <v>1125</v>
      </c>
      <c r="C177" s="1">
        <v>1</v>
      </c>
      <c r="D177" s="1">
        <v>0</v>
      </c>
      <c r="E177" s="1" t="s">
        <v>3421</v>
      </c>
      <c r="F177" s="1" t="s">
        <v>292</v>
      </c>
      <c r="G177" s="15">
        <v>25600</v>
      </c>
    </row>
    <row r="178" spans="1:7" x14ac:dyDescent="0.4">
      <c r="A178" s="1" t="s">
        <v>1788</v>
      </c>
      <c r="C178" s="1">
        <v>1</v>
      </c>
      <c r="D178" s="1">
        <v>0</v>
      </c>
      <c r="E178" s="1" t="s">
        <v>3523</v>
      </c>
      <c r="F178" s="1" t="s">
        <v>735</v>
      </c>
      <c r="G178" s="1" t="s">
        <v>3524</v>
      </c>
    </row>
    <row r="179" spans="1:7" x14ac:dyDescent="0.4">
      <c r="A179" s="1" t="s">
        <v>605</v>
      </c>
      <c r="C179" s="1">
        <v>0</v>
      </c>
      <c r="D179" s="1">
        <v>1</v>
      </c>
      <c r="E179" s="1" t="s">
        <v>3315</v>
      </c>
      <c r="F179" s="1" t="s">
        <v>61</v>
      </c>
      <c r="G179" s="15">
        <v>13150</v>
      </c>
    </row>
    <row r="180" spans="1:7" x14ac:dyDescent="0.4">
      <c r="A180" s="1" t="s">
        <v>3525</v>
      </c>
      <c r="C180" s="1">
        <v>1</v>
      </c>
      <c r="D180" s="1">
        <v>0</v>
      </c>
      <c r="E180" s="1" t="s">
        <v>3371</v>
      </c>
      <c r="F180" s="1" t="s">
        <v>61</v>
      </c>
      <c r="G180" s="15">
        <v>16438</v>
      </c>
    </row>
    <row r="181" spans="1:7" x14ac:dyDescent="0.4">
      <c r="A181" s="1" t="s">
        <v>3526</v>
      </c>
      <c r="C181" s="1">
        <v>1</v>
      </c>
      <c r="D181" s="1">
        <v>0</v>
      </c>
      <c r="E181" s="1" t="s">
        <v>3419</v>
      </c>
      <c r="F181" s="1" t="s">
        <v>61</v>
      </c>
      <c r="G181" s="15">
        <v>26330</v>
      </c>
    </row>
    <row r="182" spans="1:7" x14ac:dyDescent="0.4">
      <c r="A182" s="1" t="s">
        <v>3527</v>
      </c>
      <c r="C182" s="1">
        <v>0</v>
      </c>
      <c r="D182" s="1">
        <v>1</v>
      </c>
      <c r="E182" s="1" t="s">
        <v>3528</v>
      </c>
      <c r="F182" s="1" t="s">
        <v>171</v>
      </c>
      <c r="G182" s="16">
        <v>46030</v>
      </c>
    </row>
    <row r="183" spans="1:7" x14ac:dyDescent="0.4">
      <c r="A183" s="1" t="s">
        <v>697</v>
      </c>
      <c r="C183" s="1">
        <v>0</v>
      </c>
      <c r="D183" s="1">
        <v>1</v>
      </c>
      <c r="E183" s="1" t="s">
        <v>3443</v>
      </c>
      <c r="F183" s="1" t="s">
        <v>292</v>
      </c>
      <c r="G183" s="15">
        <v>14977</v>
      </c>
    </row>
    <row r="184" spans="1:7" x14ac:dyDescent="0.4">
      <c r="A184" s="1" t="s">
        <v>3529</v>
      </c>
      <c r="C184" s="1">
        <v>1</v>
      </c>
      <c r="D184" s="1">
        <v>0</v>
      </c>
      <c r="E184" s="1" t="s">
        <v>3312</v>
      </c>
      <c r="F184" s="1" t="s">
        <v>61</v>
      </c>
      <c r="G184" s="15">
        <v>18660</v>
      </c>
    </row>
    <row r="185" spans="1:7" x14ac:dyDescent="0.4">
      <c r="A185" s="1" t="s">
        <v>3530</v>
      </c>
      <c r="C185" s="1">
        <v>1</v>
      </c>
      <c r="D185" s="1">
        <v>0</v>
      </c>
      <c r="E185" s="1" t="s">
        <v>3315</v>
      </c>
      <c r="F185" s="1" t="s">
        <v>61</v>
      </c>
      <c r="G185" s="15">
        <v>13150</v>
      </c>
    </row>
    <row r="186" spans="1:7" x14ac:dyDescent="0.4">
      <c r="A186" s="1" t="s">
        <v>2495</v>
      </c>
      <c r="C186" s="1">
        <v>1</v>
      </c>
      <c r="D186" s="1">
        <v>0</v>
      </c>
      <c r="E186" s="1" t="s">
        <v>3328</v>
      </c>
      <c r="F186" s="1" t="s">
        <v>735</v>
      </c>
      <c r="G186" s="1" t="s">
        <v>3531</v>
      </c>
    </row>
    <row r="187" spans="1:7" x14ac:dyDescent="0.4">
      <c r="A187" s="1" t="s">
        <v>1316</v>
      </c>
      <c r="C187" s="1">
        <v>0</v>
      </c>
      <c r="D187" s="1">
        <v>1</v>
      </c>
      <c r="E187" s="1" t="s">
        <v>3394</v>
      </c>
      <c r="F187" s="1" t="s">
        <v>61</v>
      </c>
      <c r="G187" s="15">
        <v>29618</v>
      </c>
    </row>
    <row r="188" spans="1:7" x14ac:dyDescent="0.4">
      <c r="A188" s="1" t="s">
        <v>3532</v>
      </c>
      <c r="C188" s="1">
        <v>1</v>
      </c>
      <c r="D188" s="1">
        <v>0</v>
      </c>
      <c r="E188" s="1" t="s">
        <v>3419</v>
      </c>
      <c r="F188" s="1" t="s">
        <v>61</v>
      </c>
      <c r="G188" s="15">
        <v>26330</v>
      </c>
    </row>
    <row r="189" spans="1:7" x14ac:dyDescent="0.4">
      <c r="A189" s="1" t="s">
        <v>3533</v>
      </c>
      <c r="C189" s="1">
        <v>1</v>
      </c>
      <c r="D189" s="1">
        <v>0</v>
      </c>
      <c r="E189" s="1" t="s">
        <v>3394</v>
      </c>
      <c r="F189" s="1" t="s">
        <v>61</v>
      </c>
      <c r="G189" s="15">
        <v>29618</v>
      </c>
    </row>
    <row r="190" spans="1:7" x14ac:dyDescent="0.4">
      <c r="A190" s="1" t="s">
        <v>1192</v>
      </c>
      <c r="C190" s="1">
        <v>0</v>
      </c>
      <c r="D190" s="1">
        <v>1</v>
      </c>
      <c r="E190" s="1" t="s">
        <v>3419</v>
      </c>
      <c r="F190" s="1" t="s">
        <v>61</v>
      </c>
      <c r="G190" s="15">
        <v>26330</v>
      </c>
    </row>
    <row r="191" spans="1:7" x14ac:dyDescent="0.4">
      <c r="A191" s="1" t="s">
        <v>3534</v>
      </c>
      <c r="C191" s="1">
        <v>1</v>
      </c>
      <c r="D191" s="1">
        <v>0</v>
      </c>
      <c r="E191" s="1" t="s">
        <v>3315</v>
      </c>
      <c r="F191" s="1" t="s">
        <v>61</v>
      </c>
      <c r="G191" s="15">
        <v>13150</v>
      </c>
    </row>
    <row r="192" spans="1:7" x14ac:dyDescent="0.4">
      <c r="A192" s="1" t="s">
        <v>3535</v>
      </c>
      <c r="C192" s="1">
        <v>1</v>
      </c>
      <c r="D192" s="1">
        <v>0</v>
      </c>
      <c r="E192" s="1" t="s">
        <v>3312</v>
      </c>
      <c r="F192" s="1" t="s">
        <v>61</v>
      </c>
      <c r="G192" s="15">
        <v>18660</v>
      </c>
    </row>
    <row r="193" spans="1:7" x14ac:dyDescent="0.4">
      <c r="A193" s="1" t="s">
        <v>3536</v>
      </c>
      <c r="C193" s="1">
        <v>1</v>
      </c>
      <c r="D193" s="1">
        <v>0</v>
      </c>
      <c r="E193" s="1" t="s">
        <v>3381</v>
      </c>
      <c r="F193" s="1" t="s">
        <v>171</v>
      </c>
      <c r="G193" s="15">
        <v>14246</v>
      </c>
    </row>
    <row r="194" spans="1:7" x14ac:dyDescent="0.4">
      <c r="A194" s="1" t="s">
        <v>3537</v>
      </c>
      <c r="C194" s="1">
        <v>1</v>
      </c>
      <c r="D194" s="1">
        <v>0</v>
      </c>
      <c r="E194" s="1" t="s">
        <v>3436</v>
      </c>
      <c r="F194" s="1" t="s">
        <v>2663</v>
      </c>
      <c r="G194" s="1" t="s">
        <v>3538</v>
      </c>
    </row>
    <row r="195" spans="1:7" x14ac:dyDescent="0.4">
      <c r="A195" s="1" t="s">
        <v>3539</v>
      </c>
      <c r="C195" s="1">
        <v>1</v>
      </c>
      <c r="D195" s="1">
        <v>0</v>
      </c>
      <c r="E195" s="1" t="s">
        <v>3540</v>
      </c>
      <c r="F195" s="1" t="s">
        <v>81</v>
      </c>
      <c r="G195" s="1" t="s">
        <v>3541</v>
      </c>
    </row>
    <row r="196" spans="1:7" x14ac:dyDescent="0.4">
      <c r="A196" s="1" t="s">
        <v>1790</v>
      </c>
      <c r="C196" s="1">
        <v>0</v>
      </c>
      <c r="D196" s="1">
        <v>1</v>
      </c>
      <c r="E196" s="1" t="s">
        <v>3523</v>
      </c>
      <c r="F196" s="1" t="s">
        <v>735</v>
      </c>
      <c r="G196" s="1" t="s">
        <v>3524</v>
      </c>
    </row>
    <row r="197" spans="1:7" x14ac:dyDescent="0.4">
      <c r="A197" s="1" t="s">
        <v>3542</v>
      </c>
      <c r="C197" s="1">
        <v>1</v>
      </c>
      <c r="D197" s="1">
        <v>0</v>
      </c>
      <c r="E197" s="1" t="s">
        <v>3442</v>
      </c>
      <c r="F197" s="1" t="s">
        <v>259</v>
      </c>
      <c r="G197" s="15">
        <v>14611</v>
      </c>
    </row>
    <row r="198" spans="1:7" x14ac:dyDescent="0.4">
      <c r="A198" s="1" t="s">
        <v>175</v>
      </c>
      <c r="C198" s="1">
        <v>1</v>
      </c>
      <c r="D198" s="1">
        <v>0</v>
      </c>
      <c r="E198" s="1" t="s">
        <v>3528</v>
      </c>
      <c r="F198" s="1" t="s">
        <v>171</v>
      </c>
      <c r="G198" s="16">
        <v>46030</v>
      </c>
    </row>
    <row r="199" spans="1:7" x14ac:dyDescent="0.4">
      <c r="A199" s="1" t="s">
        <v>3543</v>
      </c>
      <c r="C199" s="1">
        <v>1</v>
      </c>
      <c r="D199" s="1">
        <v>0</v>
      </c>
      <c r="E199" s="1" t="s">
        <v>3319</v>
      </c>
      <c r="F199" s="1" t="s">
        <v>735</v>
      </c>
      <c r="G199" s="1" t="s">
        <v>3320</v>
      </c>
    </row>
    <row r="200" spans="1:7" x14ac:dyDescent="0.4">
      <c r="A200" s="1" t="s">
        <v>3544</v>
      </c>
      <c r="C200" s="1">
        <v>1</v>
      </c>
      <c r="D200" s="1">
        <v>0</v>
      </c>
      <c r="E200" s="1" t="s">
        <v>3409</v>
      </c>
      <c r="F200" s="1" t="s">
        <v>292</v>
      </c>
      <c r="G200" s="16">
        <v>46038</v>
      </c>
    </row>
    <row r="201" spans="1:7" x14ac:dyDescent="0.4">
      <c r="A201" s="1" t="s">
        <v>3545</v>
      </c>
      <c r="C201" s="1">
        <v>1</v>
      </c>
      <c r="D201" s="1">
        <v>0</v>
      </c>
      <c r="E201" s="1" t="s">
        <v>3480</v>
      </c>
      <c r="F201" s="1" t="s">
        <v>292</v>
      </c>
      <c r="G201" s="1" t="s">
        <v>3517</v>
      </c>
    </row>
    <row r="202" spans="1:7" x14ac:dyDescent="0.4">
      <c r="A202" s="1" t="s">
        <v>2022</v>
      </c>
      <c r="C202" s="1">
        <v>1</v>
      </c>
      <c r="D202" s="1">
        <v>0</v>
      </c>
      <c r="E202" s="1" t="s">
        <v>3546</v>
      </c>
      <c r="F202" s="1" t="s">
        <v>171</v>
      </c>
      <c r="G202" s="1" t="s">
        <v>3547</v>
      </c>
    </row>
    <row r="203" spans="1:7" x14ac:dyDescent="0.4">
      <c r="A203" s="1" t="s">
        <v>3548</v>
      </c>
      <c r="C203" s="1">
        <v>1</v>
      </c>
      <c r="D203" s="1">
        <v>0</v>
      </c>
      <c r="E203" s="1" t="s">
        <v>3409</v>
      </c>
      <c r="F203" s="1" t="s">
        <v>292</v>
      </c>
      <c r="G203" s="16">
        <v>46038</v>
      </c>
    </row>
    <row r="204" spans="1:7" x14ac:dyDescent="0.4">
      <c r="A204" s="1" t="s">
        <v>791</v>
      </c>
      <c r="C204" s="1">
        <v>0</v>
      </c>
      <c r="D204" s="1">
        <v>1</v>
      </c>
      <c r="E204" s="1" t="s">
        <v>3371</v>
      </c>
      <c r="F204" s="1" t="s">
        <v>171</v>
      </c>
      <c r="G204" s="15">
        <v>17168</v>
      </c>
    </row>
    <row r="205" spans="1:7" x14ac:dyDescent="0.4">
      <c r="A205" s="1" t="s">
        <v>3549</v>
      </c>
      <c r="C205" s="1">
        <v>0</v>
      </c>
      <c r="D205" s="1">
        <v>1</v>
      </c>
      <c r="E205" s="1" t="s">
        <v>3550</v>
      </c>
      <c r="F205" s="1" t="s">
        <v>259</v>
      </c>
      <c r="G205" s="15">
        <v>27061</v>
      </c>
    </row>
    <row r="206" spans="1:7" x14ac:dyDescent="0.4">
      <c r="A206" s="1" t="s">
        <v>969</v>
      </c>
      <c r="C206" s="1">
        <v>0</v>
      </c>
      <c r="D206" s="1">
        <v>1</v>
      </c>
      <c r="E206" s="1" t="s">
        <v>3338</v>
      </c>
      <c r="F206" s="1" t="s">
        <v>259</v>
      </c>
      <c r="G206" s="15">
        <v>21217</v>
      </c>
    </row>
    <row r="207" spans="1:7" x14ac:dyDescent="0.4">
      <c r="A207" s="1" t="s">
        <v>3551</v>
      </c>
      <c r="C207" s="1">
        <v>0</v>
      </c>
      <c r="D207" s="1">
        <v>1</v>
      </c>
      <c r="E207" s="1" t="s">
        <v>3345</v>
      </c>
      <c r="F207" s="1" t="s">
        <v>81</v>
      </c>
      <c r="G207" s="1" t="s">
        <v>3471</v>
      </c>
    </row>
    <row r="208" spans="1:7" x14ac:dyDescent="0.4">
      <c r="A208" s="1" t="s">
        <v>3552</v>
      </c>
      <c r="C208" s="1">
        <v>1</v>
      </c>
      <c r="D208" s="1">
        <v>0</v>
      </c>
      <c r="E208" s="1" t="s">
        <v>3553</v>
      </c>
      <c r="F208" s="1" t="s">
        <v>171</v>
      </c>
      <c r="G208" s="16">
        <v>46047</v>
      </c>
    </row>
    <row r="209" spans="1:7" x14ac:dyDescent="0.4">
      <c r="A209" s="1" t="s">
        <v>3554</v>
      </c>
      <c r="C209" s="1">
        <v>0</v>
      </c>
      <c r="D209" s="1">
        <v>1</v>
      </c>
      <c r="E209" s="1" t="s">
        <v>3480</v>
      </c>
      <c r="F209" s="1" t="s">
        <v>292</v>
      </c>
      <c r="G209" s="1" t="s">
        <v>3517</v>
      </c>
    </row>
    <row r="210" spans="1:7" x14ac:dyDescent="0.4">
      <c r="A210" s="1" t="s">
        <v>3555</v>
      </c>
      <c r="C210" s="1">
        <v>1</v>
      </c>
      <c r="D210" s="1">
        <v>1</v>
      </c>
      <c r="E210" s="1" t="s">
        <v>3426</v>
      </c>
      <c r="F210" s="1" t="s">
        <v>81</v>
      </c>
      <c r="G210" s="16">
        <v>46050</v>
      </c>
    </row>
    <row r="211" spans="1:7" x14ac:dyDescent="0.4">
      <c r="A211" s="1" t="s">
        <v>3556</v>
      </c>
      <c r="C211" s="1">
        <v>1</v>
      </c>
      <c r="D211" s="1">
        <v>0</v>
      </c>
      <c r="E211" s="1" t="s">
        <v>3371</v>
      </c>
      <c r="F211" s="1" t="s">
        <v>61</v>
      </c>
      <c r="G211" s="15">
        <v>16438</v>
      </c>
    </row>
    <row r="212" spans="1:7" x14ac:dyDescent="0.4">
      <c r="A212" s="1" t="s">
        <v>3557</v>
      </c>
      <c r="C212" s="1">
        <v>0</v>
      </c>
      <c r="D212" s="1">
        <v>1</v>
      </c>
      <c r="E212" s="1" t="s">
        <v>3268</v>
      </c>
      <c r="F212" s="1" t="s">
        <v>2663</v>
      </c>
      <c r="G212" s="1" t="s">
        <v>3384</v>
      </c>
    </row>
    <row r="213" spans="1:7" x14ac:dyDescent="0.4">
      <c r="A213" s="1" t="s">
        <v>937</v>
      </c>
      <c r="C213" s="1">
        <v>0</v>
      </c>
      <c r="D213" s="1">
        <v>1</v>
      </c>
      <c r="E213" s="1" t="s">
        <v>3558</v>
      </c>
      <c r="F213" s="1" t="s">
        <v>61</v>
      </c>
      <c r="G213" s="15">
        <v>20486</v>
      </c>
    </row>
    <row r="214" spans="1:7" x14ac:dyDescent="0.4">
      <c r="A214" s="1" t="s">
        <v>3559</v>
      </c>
      <c r="C214" s="1">
        <v>1</v>
      </c>
      <c r="D214" s="1">
        <v>0</v>
      </c>
      <c r="E214" s="1" t="s">
        <v>3558</v>
      </c>
      <c r="F214" s="1" t="s">
        <v>61</v>
      </c>
      <c r="G214" s="15">
        <v>20486</v>
      </c>
    </row>
    <row r="215" spans="1:7" x14ac:dyDescent="0.4">
      <c r="A215" s="1" t="s">
        <v>211</v>
      </c>
      <c r="C215" s="1">
        <v>0</v>
      </c>
      <c r="D215" s="1">
        <v>1</v>
      </c>
      <c r="E215" s="1" t="s">
        <v>3369</v>
      </c>
      <c r="F215" s="1" t="s">
        <v>61</v>
      </c>
      <c r="G215" s="16">
        <v>46032</v>
      </c>
    </row>
    <row r="216" spans="1:7" x14ac:dyDescent="0.4">
      <c r="A216" s="1" t="s">
        <v>773</v>
      </c>
      <c r="C216" s="1">
        <v>1</v>
      </c>
      <c r="D216" s="1">
        <v>0</v>
      </c>
      <c r="E216" s="1" t="s">
        <v>3371</v>
      </c>
      <c r="F216" s="1" t="s">
        <v>769</v>
      </c>
      <c r="G216" s="15">
        <v>16803</v>
      </c>
    </row>
    <row r="217" spans="1:7" x14ac:dyDescent="0.4">
      <c r="A217" s="1" t="s">
        <v>3560</v>
      </c>
      <c r="C217" s="1">
        <v>1</v>
      </c>
      <c r="D217" s="1">
        <v>1</v>
      </c>
      <c r="E217" s="1" t="s">
        <v>3561</v>
      </c>
      <c r="F217" s="1" t="s">
        <v>1378</v>
      </c>
      <c r="G217" s="1" t="s">
        <v>3562</v>
      </c>
    </row>
    <row r="218" spans="1:7" x14ac:dyDescent="0.4">
      <c r="A218" s="1" t="s">
        <v>840</v>
      </c>
      <c r="C218" s="1">
        <v>1</v>
      </c>
      <c r="D218" s="1">
        <v>0</v>
      </c>
      <c r="E218" s="1" t="s">
        <v>3563</v>
      </c>
      <c r="F218" s="1" t="s">
        <v>259</v>
      </c>
      <c r="G218" s="15">
        <v>18264</v>
      </c>
    </row>
    <row r="219" spans="1:7" x14ac:dyDescent="0.4">
      <c r="A219" s="1" t="s">
        <v>842</v>
      </c>
      <c r="C219" s="1">
        <v>0</v>
      </c>
      <c r="D219" s="1">
        <v>1</v>
      </c>
      <c r="E219" s="1" t="s">
        <v>3563</v>
      </c>
      <c r="F219" s="1" t="s">
        <v>259</v>
      </c>
      <c r="G219" s="15">
        <v>18264</v>
      </c>
    </row>
    <row r="220" spans="1:7" x14ac:dyDescent="0.4">
      <c r="A220" s="1" t="s">
        <v>3564</v>
      </c>
      <c r="C220" s="1">
        <v>0</v>
      </c>
      <c r="D220" s="1">
        <v>1</v>
      </c>
      <c r="E220" s="1" t="s">
        <v>3474</v>
      </c>
      <c r="F220" s="1" t="s">
        <v>735</v>
      </c>
      <c r="G220" s="15">
        <v>16072</v>
      </c>
    </row>
    <row r="221" spans="1:7" x14ac:dyDescent="0.4">
      <c r="A221" s="1" t="s">
        <v>3565</v>
      </c>
      <c r="C221" s="1">
        <v>0</v>
      </c>
      <c r="D221" s="1">
        <v>1</v>
      </c>
      <c r="E221" s="1" t="s">
        <v>3566</v>
      </c>
      <c r="F221" s="1" t="s">
        <v>61</v>
      </c>
      <c r="G221" s="1" t="s">
        <v>3567</v>
      </c>
    </row>
    <row r="222" spans="1:7" x14ac:dyDescent="0.4">
      <c r="A222" s="1" t="s">
        <v>3568</v>
      </c>
      <c r="C222" s="1">
        <v>1</v>
      </c>
      <c r="D222" s="1">
        <v>0</v>
      </c>
      <c r="E222" s="1" t="s">
        <v>3474</v>
      </c>
      <c r="F222" s="1" t="s">
        <v>735</v>
      </c>
      <c r="G222" s="15">
        <v>16072</v>
      </c>
    </row>
    <row r="224" spans="1:7" ht="45" customHeight="1" x14ac:dyDescent="0.4">
      <c r="A224" s="18" t="s">
        <v>3569</v>
      </c>
      <c r="B224" s="17"/>
      <c r="C224" s="17"/>
      <c r="D224" s="17"/>
      <c r="E224" s="17"/>
      <c r="F224" s="17"/>
      <c r="G224" s="17"/>
    </row>
  </sheetData>
  <autoFilter ref="A1:G222" xr:uid="{5D2616ED-8AE4-41CD-BA90-69571E848AFE}"/>
  <mergeCells count="1">
    <mergeCell ref="A224:G224"/>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说明</vt:lpstr>
      <vt:lpstr>总表</vt:lpstr>
      <vt:lpstr>统计</vt:lpstr>
      <vt:lpstr>人物索引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诗旷 汤</dc:creator>
  <cp:lastModifiedBy>诗旷 汤</cp:lastModifiedBy>
  <dcterms:created xsi:type="dcterms:W3CDTF">2026-10-07T14:53:52Z</dcterms:created>
  <dcterms:modified xsi:type="dcterms:W3CDTF">2026-10-07T14:54:21Z</dcterms:modified>
</cp:coreProperties>
</file>